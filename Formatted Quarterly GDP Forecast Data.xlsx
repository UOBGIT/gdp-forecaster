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pgross\Desktop\"/>
    </mc:Choice>
  </mc:AlternateContent>
  <xr:revisionPtr revIDLastSave="0" documentId="13_ncr:1_{F78BB4AE-ECFB-4E25-A41A-BA31084A34D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CEIC2</author>
  </authors>
  <commentList>
    <comment ref="A1" authorId="0" shapeId="0" xr:uid="{D2FB3D87-6A35-4FDB-9EBE-30ED45D07C79}">
      <text>
        <r>
          <rPr>
            <b/>
            <sz val="9"/>
            <color indexed="81"/>
            <rFont val="Tahoma"/>
            <family val="2"/>
          </rPr>
          <t>gWwBAB+LCAAAAAAABADtnWlz20aagL9v1f4HlKu869QGEu6DoTlFkZTEWFdE+dqpKRcINCWOKVBDkLa1n5zDsZ1xbCdxkonjjZNMrq2ZKN4djy1LzuTHjEhJn/IXtrtxECRBkJBkiZba5bKJ7rcbQHfj7fftp4/4b64slqhLoGIVy+bJY+wQc4wCpl42iub8yWO1aoFmpWO/ScQzV3RQmtEq2iKoQmEKpjKt2BXLOHlsoVpdig0PX758eegyP1SuzA9zDMMOn5ucyOkLYFE75gkXewvTRdOqaqYOjiXiqQXNnAdprQqmKwao2NmcPJbNZYdSoKjDCG1SM7V5UBkaqVlFE1hWxqwWq0VgHUsUtJIF4sNteSTio8WKVZ0rLoLpJWBOFM2LO8q2Ixf3aacrRWBWtSoszV08ry8XN+ORcsnIVZdLYBfZennATI3FSVDVDJg4WobxVAXA0kylJ8/YjSbBDUlDLLxFe3hTcqRWLBm2XIukHe7IoTpCJZrgGE6iGZnm2TmGiXFyjFXcNJ5M/PSS0f4U4hArxoc7Ipqi7mMgwSFW8Mk6D2JfBz6IEuOkGMcPqaLAyqryHzCAYdwc2h8LfyzO/anhRHxCs6o5ULlU1LFYrqotLuHcGZlnGYYReS4+HCgEX7xZUYn4LMhrFjCgGKyLSPWGHmO6ZMyCS0WYQQqUStHT49dK6tHbNqxzX1ono108w1hFW1qYK1Yjfgwo/Wi5AnRY0ju7+xS4PF1xynBuaQJGzy0UK9XltLYcPbPTFqhML6ESiZY2ET9brly0ljQdTEF1jLJKly+bpbIGP26oM6xqUbfcDz8gJj5TKS+BCsoLKYTRsllNVCs1KBwQ4WWdNeHLoxuPlMsX23NvjYzj+sE1BYt7Uau64h3h8dxC+fK0WVrO1fKWXinmgZEecaUD4+LoW3NSJ2vVMvy/qMMHaYbGUzULhjdDcAEBvbiolWZKsNCsBFQTrQFxlFWhWE2VS7VF0yu8ttD4Wfj8c+CK9z7eddynsLOmK28XamBUa4LZ8mXvnp0Rcbv38oKTlu5kHRDRLpyGYW5ldcbg8kdvOVoswW7dX/K+0NY2kFsAoBrYAOyYONJeo8hQSCRLpfhw8zIOG2Glih4jAZUeS+O/SMfjv/C2XnQ8Yxrd5dzI+FRtcToPv6JLdk/Jwri2INjdl0ojJc28CEPPFqsLU8lmF94R0yH9n6BS7iaP4zpS2I2vWxonNm4XbNfn6oyLp4vWUklbxsFe4fvD4llTL9UMYPcNWbOA2z4qA7utdI2OdwRNQEWRiGvm8tzyEtSwVjFWhT9OHoPWXsyqVqBleCxh2Pc+bRar8WFHFPZWXfJKg4JWK8HurVqFqZvKqS0YaWcdZMz5CWit1KD288qkPdxrkkhBzFU000J3dHvG9tYZLBR3y9hWwgl/ccaH2yJtYcuuQPTNI60yBxaXyhWtNAlfojhaM3H35qp0GD+pVRecS/jhl4Dulog/sZeu9SHdd+glhj9h+41Qb+DUdlsgFkLfjG1VNGWaYXHU0ibLBuyYtVIxX7Ebh6voguKg9dPswdxmhN8uWm/mVgf0LqBuOgWWE/A7bl444biBsW6E3dxS8JESuVmBVRmZ5VUZWksoJI7feSw9E6NyU0loqVHQ/C2aFLLTgXEiNfFKjILWl7AUoywNqgxcQk7tR0vqTxQfrYA/1KDvtIwf4g34rK0hrQJQE88XTa3UKejFNBMk3jidnJ3LzE6c98na7zlR1qFo/fOf6+9e27z3cGPt+8bV9frV578+vw89K6X+7DGMazz6YHP9TuPvtxtfrm6ufLrx80ebf1v/9fkN+I4Ukvr1+U0on5rAiTgBJtpYf9r4EmVS//HPW++9tfXo7cbHj+2ysu8Yn9PyJYBfbG5EEhlGEGD5NwPjWHkMY2vDqOlVHDh+ChsZ3nXcMXjxRSqTTY1NjGAl4gW6yZH9UrNsY3q5XPNd5+zisO+FG4cdihqVLZWYcxWTc90SmwbIurC/cmSgXgKt0v74bgntItlc/35z/ceuqZ1ya/ZyrKoyNCP17ARtP4Tv0gkiv8F2O3xOi0hzgk+4TQb6EYsaNCFd3yRpWWW9iL9qR4EbzTLMGglJVSVZEhjZU/CG98EECbVHOTnNafOJ8eSZM8nJJPozlh1380MxrRkGyXYIQAVQM6uVZa9t+a/dSPxxjpfNeeoU+ieXnKVOpBbgB/aKJ29/v74Lu6o2Vn+E3872d581Vn/avPmsfuMvW1/datz7pX5rrSWpU7FOSI97wcIo1yp268aFjK/wE6SAacE2rZkG1TTXqTRYgi1iEbZrWFpNYV9C+/7owdYebK4/3Fr5qv7NO35h5wE9zeFv0m/UYO6gUlp+lQImGvWhjk1qlVep12smeJXKgaVX4RPox3x6p+WDCAp1VNKPfw5O1P40Y5VybcnWmb4EzdAAyabyDEoRoEBxHC63IE3ajA1IEfQ2bZFu00XWUOK411DxZdwNtK98UXbaVnEnP8/Bgx8P/Hz9l963BBWt01e2hcTP5nC5XWQuyAWG4wtcnlYKGkcLDC/Smi5ytCQVRCCLPGtwsPdx5JE5PVMumlUrwQoCNqWdyzjMlkV3wv/Hs4uwK8c3xWUGw9tC4uOalblSdbRMYio+3BoQd2sowBr1P4TY8hD996++2nZbdz+1HdYGce2Nn0pTi6Zble2KnN+lIt+9BRKusKPqw94NbTikHlPwnebLlWU80mEYyFT09y3QhDU8HYg6pSVcyzOVYrlSrC7b3Q9UfFq13HRLvQDb+Gh+gFtf/UCNnxpK7sDoCbScGvd+ql9fa/zt464GUePq97ZNBEM2b//U+One1i9fNG5/65hA7XYSLlH8Cz8nrlv8EDEKV3V+mcpcWUIKuFqrALuGKVgYOvydA5pVhoVcWqaSxu+hAwKM1kbhuycqNewm9NWL2a/fVk6onNuy8Gca3HRi1BSud61EJXUdtSKrJR8vC9tkT3E848U75mJ5qaj32fe2yTbTdmvXTQFb1jZbZ1iWc+LsZ0COChpg9an9az9s3oXV/Kjx/kp97SM8iNIm0pIqMVYq52EhuGGtCZqy+H5jE9MjyYmmiP0QNqdg0cdlAwvH8bNsf7LNzYTa2EikxqfGZjKzUA8ju8zXPR9PjSenxjInpi+BCjUDP7+y8RrFvkZNlV9B3revH2+iHfs23rXjZVXhJzqhzbse1hmtVMPumP0DG/uJ1PRUbi45Ba1tZzSgLaOgfDXTrEGf8r9Aa86jyYlcJlruw/5XsB2BTv/QF+4VbFPLJ6HqWYBZFPXpJWB7ubAZd8p5SZER2kxEBaXCdqpdlYxXp44iLdsJwE59Xzwk7Q4BNzsCPM7t7xo7Aly93RLh5oabNVbLrjOHLzrdOcdHcH01X+xuvLX2a18zDYnyHnqvxxjbXKdA4d25V77a64yGzacj3gnzOTu+S7cBtPsnvrCm29HphLReeSmD7Phu4Z2JvC8nODSwNXpWWnCodxOf8YxNDef/dpsahe2FVY0/Es8mZXZlJe+nieR9z14lt3XybWG+S+8RWnrdlhDvwpXt6CbbA/3XbiKb8g/7ujx0kbXcS/clfSEwNqWV9FoJ0Z4Osc4oL+u2dozZSCFpIAc4+BtvkYinapWKrUxNZ+5Erra0VK54YKS7QLxZz7gZTNnjqP7RWl9LSLfGw2tfLOpbWqJxZ4MusYfiRNneStZChMYGx/CFNb0K+93pAvpdcJiofVW0XEaKh7BNsFg2Yd+Ga8JWckYzm1wtb7qGn/P1wVZtt18fAIfdwqWiU7lnc5lKpVxxK925nASWBb8Of+23iGUtewTZcHGGd+19qc3eNF0sFM7DtzrXJCVugF0OzSaCLmxTosOwGvZZXr4m595/T9tguKUWlGAPm6z9RoPcYlGE//JFN99E6vSs7ebbl1B1VuZB3+06ytBLM1H0T8FrZO3fwh5AFVaVZJVn2qDKLIAlhT3W8+XzMcobXkGDETGqi/fVCVh2lM3+wZaAQaMW2LLyxfZn1wIHDup3bzV+umePEtTXvoM/cmhQItSb7cJUoNeiSExvppKanpxJXhidzWR6sJXk2NiRYivs7ofkurAVVuxt/CfYIQqVOqW7HYBF/cFtWJT7AVDQoL1cXaAKlfJiQPTQv/4LB7PpwQWoJVsNWc1siyZVwmaX7mj1VymtSul40KiEB43sIaYlNMRkDcWHvaHZfngQx7KcwKsMF8aDfEKhPMj+M9ILBXlih54CoUaDTONw3BModlCg59fnt+C/jQd/4RsPbvzz6puS/Z9q/8dy8P+BZEFR6MBLwILY7iyIvdDSpQchH3YPkc/5DuSz3zwA9cG9+un6119sf/yLv7duG9yv373dc0A/RvmsGbpMn3d0eotZEzCGHz5qH31cPtoAvCyIshg+BG+PfTuPgEfAw0benYHvjF42y4vQ4J6EZjesmq5j77LAK3yP0feN1U82P7619eSP9fd+iTAGDz+RkkHNwX7PoGZKNSt0EP7s9OxEOngMnuscgycDEgPp3sFufwiZS7MTQ7kkfX76PA07Ay8ykueXnctM7sr169C0A+vhMZzMtrp3WTTXEGmOTpfNixqYOW9bv3xev/Pnrv4TK4gqmZAW0WkSuf6dJimK0yTTnNKH0/Tb1PSZbJpmVToLvdrU3O8ieiasLKiywLBhjklTJswveT2Z7OGSYIlD740cqjlpg+qHvOg5ae7EpU5npHVKU4f3sfnZPzZWr8O2Vr/29i6dE667c8JdkIEqs0JeojWeF2hBZkU6bwCRFnTBKLAcMFgWBHktnKq8UK+lr4lqiiqETFSbfDHz1CZ3NE8N6ffeRDxcv/e2CkLV8eGfhvY6GvLderza+NNHnt/Ue1LY68kYhR/Hp2h3NbPrm0/gM+xwNhcysovzpv1AoY4kL5CZXKEzufgoM7lGZ9/InZ7snMiVHBubzYwl5zInPE3xGgX7RH3B1ytWwWIeVHDfiH+9RuVqizuZ7FWo/KF1Opavg9rthC/Yodt4s20qGbdXs71ct4ZM9SJTvchULzLVi0z1IlO9juzIKpnqNXhTvXZty5HpYHvBC7KTQ2eSqewQdJbpySl6cqfAYLdTxfof/BhokKC0gITMla4gwYsaGJBQv75GQAIBCR0gQZF6gwRbJhwkpHqChBQBCQQkEJDQn8PGdwcJ/AWBzwOFAQpdYCWeFvIA0EpBlmhZ0A2eN1SOUXUCEgYPJARbBaHqmIAEAhKOEkgQCEjYf5CgEJBAQAIBCQQkEJBAQAIBCQQkEJBAQEIrSMicGzqTHJ0+cJDQ/+DHoIIEQRA71ptXtWKJymklWHjYrKdOzObOdFlU3k12YEjD9udP6vdWtu9dhf/ihWg37JCN1fswcOvx9xvrT3H4za40gpPQIBGhEZFohPKi1oLLNMPtC43gRYnrRSNcmTAaMT7Sa1kDliA0gtAIQiP68fqE7jRCuGBIKssVpALNq4jn5zmeVvKaRss8zxY0jVdk3QhcjK282MXYfdEIMXT/3YGiEUpfgzbu9h29aUSfpkSofj78eGL81+f3A+2XvjDFOFo4317Mu9zKtv7uNRuX1D+8VV95Ul/7Ea3jf/jtDuFFurwIUM/g4BTUW4yXaxZYKJdgv1GrXALL4UiDUQnSCEMaIkEa+4o0HAeLEA1CNAjRIESDEA1CNAjRIESDEA1CNA5qp9z+B0kGlVpwHMcLfAu2mCtXYTlB97ZWMamsaYArMWpcQ/4agP/ggCCC0VeygYEZaDO9z79ovPdt49Z16DuiY3Pe/HDz3kP7sivAUAW08XEPgJFGdw0lGFji6BCMKAdMRVxPwTN7d1IgOgdS7AEqmjJhoCKdHU323ILJFTrsuKJNCUCVnCovLmnmMjVRXCzizSRDeYXvu2w8uLn92d36tb/W76wePLj49NsjCS4Y7nXNRB/1SU7hlSHfmZk+hhEg1AVnhGcXnWmI3ZmGeEESdYUDBk9zvCrQAg94WuVEqEYUnZVYFui60eVMQengzxRUGY4PgRpp8cVQjXQI1ehaze3qn21lzV3Vf5tGDwQc0S2NUBV/+FlHOotgB1b4G2vfoAUZN68ii6fVBuoLfKSz/iMOMlf0BVjwgDoxfipz7pUY1Vk1O4YiO8IeoURDYXtsGrx9/YOtL96v33mv8eDh1uPv66tv1R+EsoxReE8TmhQljFdGa+j8Qwv5fBdBtTvSkJgeSGP7L3/a/vqDCEhjvDi/QDVHgftCG+lkFvURQWRDikg2JpK5uT1DG8hSO1Jcw3XBCNggYIOADQI2CNggYIOADQI2Xnaw4RhyL5hqvARtet+xRjZ9Lg2ra1doo/+xkkFFG7KsKkIL2UBOaqxjxCAIZnSTHBx+Ybvyth/fijC6wwtW5gm8iAovZPlA4cXul19IMqcyPZZfeDLhVKM30iA8g/CMl4xn8OzrtRKrSsJJFhseHSyjTaALx0AC9WeP5caDGzwLy7Ijt+goQ+qOMqQLoqLpgqirNNA0iRYUVaNVRdNoXeI41pBUjpXEQJQxCJtFsRzHhS3QOAiWEVjN7T0BWou3VxyjLyMjVI8fXXSB1efG6u36w7Xt6x/sBbrA9eCM45s9Djgk2GIQsYVMsMU+YgvHvSLUglALQi0ItSDUglALQi0ItSDU4pC06ZeSWvQ/LDKo1EJQWVVRA7DFXK1ilmEribmbDXSjFh2CgwktbtyFv7ev30GbH6BdF7pBC0lWCLSIvGdUJ4zYM2ixd3Y6GtMS+N5swpEJZxNTyZGedALLHHo+0THGZe8VlSoBrYJ4QV+Ywj/mVr/z3ub6R5srn8JPlyCLAUAWg7B3lNwdTsgXRCCrKqfItMTLAi1ojEBrsm7QoGCoeVlhgAECj8Rmpb3cO2qn6yxUcdDWWYTsHgWVsrCHiyv6sSFC9feRZRJbd79FW0l9/d/23np7spzCqYa9OAyDgIkDAxMKARP7uU+U40ERMkHIBCEThEwQMkHIBCEThEwQMkF2iTqQXaL6Hw4ZVCihiLKkqmLr8RZTUzFqJJuLwdZagr0HMKhZgBf/W7AUzCry4mCRwO8U9l+wI4N2oDPVkWNYBs2x9Lu+LT5nJ9l4cfcaGDgyNWVvA7392bXG6rXNlU+3P3oCnXc01HD1Zn3l/ub9dzZW36+/98PG2vcbP9+pr1zbWH/a+PK5t/oDvWr92WP0tvAqdCSgC2vhOE6QWLknbknmcjOz0zM9kAtUc0cKuTA0y72IYzokmhP3YZ0IL6ocoyiqHAZjfEIhNGZqavZUMplMnQsHMj6xw85kRjTzIgX7JqiWYH/vdTM5UK2WADqzwwqnMdHSHwiLaaUXR4fFHA/CMMe7Epjju8QuSnfsolxgVRntQ1mgDQnwtFAQ8rSmKwbNiEZelRWN5YEUfGQHNwBrQhQphLqEdca7oS5d2iCuPdd4CFwMou5e3R+AhROu7g85u5k9NQSLeGh2Zia7U7MK6oX62ne92Y7vVrupUl97DsM+/7x6F3YMpX9e/YAKsiBvwEf59flNZBXiN9y8+T8bq/ft9+yFhX6LMv4d1bsDok7Au7wSC3m9UJiEdkHiBDkcKDUerDW+eAfPHvql/uARqrLV+2FAyWf0xJpPg25RrnQHSoLS+9iRjdVPNj++tfXkj/X3folAlqBqLxnUHDRtDWqmVLNCkdLZ6dmJdDBSUqMgpdT41Nj5THK2kykdT40np8YyJ6YRZDwPtEp3UtS0yTucQkJaCGkhpIWQFkJaCGkhpIWQloEhLUHmDVnZcRArO2zzcxcQpf/BjUGFKJyqsLLYglCaHgk+RRL2Taal6ba3cqZcqi0GLvPoJ9XAYA3H13z2qP7+J8h/Xvk07HwNmVfk3gdskBPC/RY5B/XVizshXN7L1R6Kqsq9Vnu4MmGrPTKne+9F5cgcdrIwC8sbpkLzZdH0SVz6fZ8FXn+6sv3tU+cTff5oY/3p5s//d+Ak4aieCL7PJEHtThLUC0q+oAOVU2nA8gwtCCKgFZFlaVbV1AKvSwVJLASSBEY8+AUcPKcO1uHf6J/AkzHUvT36O7JlEKqbDzkNGD81lBmBJomt/tDgOF7MgX6so4PA6x/egqbK5ucrfa3kyIw0B5hjbSWPz2DHGtqpgx0u4egY+N7RweAYQmQsaFcAbyQ8bGBe4USO7TEwf9TPAmcZchj4/h6a4ThTBD0Q9EDQA0EPBD0Q9EDQA0EPYehhf6dHEAuFWCjEQiEWCrFQiIVCLBRioQzc5IhdjjZR/zZffY0iMywGY4bFXGZyV9Mr+ic+gzy9QokwvaLbJpp9JBrUyRU2tyCTK/ZwcoXN6F6KyRUqwwi9Jle4Mr0mV/TaStOROeyTK1Bzx3AofBpFoBiZOnHENsRku3pwiYssc0E25IJSkGSaBZxIC5Kep7U8q9CaxPGAK+Q1vqAFz6hQyYyKCBti7uucivDNMTs1MplSQaZUkCkV/U2pYMmUin2fUqEQYEGABQEWBFgQYEGABQEWBFgcImBBts58+bbOjDBuMqhcQhJVRRVauESmUAB4FJsaBfCtYaGhI6ctahaWahCSCJcfGBrReHCz8fGNrTfvbb/1nX0ud/3G/2zevt4VSIiCyghC7/0myfFebUxCFGhG7XOMS43GJFpOiHlRe00KjCyLPWBFUyYEVpxOTyR7LAR1RMJRxelcCKpA+gsY+AwWYPVCFJv/uF3//OcwGhGcXQiFcD/6WQB1OlQCeC+ucoGCepw6Dw30cDgRJfXBMIsjeojXcWpJC1zxicO78Ir6s8e2Ut3t6k+WDaEV7AW0ETAwVIPWWFCgBU3UaSUPOFoHDGB4hePzUuBOkpyyl7RixztJstygneDlr9V2VS73qcplmlN74YoItkKoOu5XAb5khOJ0big9gQjF2s+ba985tspbP9S/ue5ttx1kwPSiFTjbGNVL18YCKyUMXbjdSTiWaKugsDO7RDYcO2w9ftr46z+89+7KGSacTmDWvmU3viCKA342Fxo/j4QZkmfGslOpVDY1kdkz3JC8NP8adR5Y+J9DCB2Csi7Om9DBnCxaFmxGrdnPzZ7O7BXVcN0vQjUI1SBUg1ANQjUI1SBUg1CNl51qtJuMZNHFy7foIsI4y6DSDU7gJJlvXXaRmopRM5PZGDVZmI9h3zdzBbURCqv5IMDRK8XAII7t69e3Hv+4uX5n8+679gkRsfqNJ9tXv9xYvR9rfPKofn2tfufPWytf19//uCv2EERJUHpCj9T4VA/oMTM7eXSgB8eg2br9LsSQoh2w1Q/06NOmT0iqInJsONtoyoSwjdRI8uxkOhxuuDLhdCM1FUI38AzR/hZehFGN1mxCaMaUq0tHahWg1dDwmP90+9DtKj//ub7yZHP94dbKV/X/vXrw5OKIrrbY540q0WhTV1TBXRBkg9M0UaNlSRdpQTQArcE/tJYXeZ7T1QJj5INQRdtxUweyroITlcFaV3G8k1HYmrffJRXdNO+Ou/tQxdpLkb1EdMIGCampoekZKkZ1Ghow0DM1egMJnA8sZagfFzQ0wkrZxl/F+nf3lCkYUCsgG7mCB2DDKETn0/QiEt1vHIonoGkkceGAAj5F4++36x/e2nj+JiyKrUdvNx5+G0YqRmrwMaCxjJeLZPSyWV6Etn6uVrkElruCC4EXJLXnEVCoU7SfJwLAwO2UmqmAxWJtsT9+gTrwQHjBR4cXewstjtoaCdfdITiB4ASCEwhOIDiB4ASCEwhOOBQ4YT8WSbwEzfolBAn9j4IMKkhgBYnjWQYdJ+tHCeXFpbJVrEKHFn4+tUX47r6TkgNRQo8UA4MSNtef1+/eaDy5sfX4GdovYf2p61l3wQa8wPOi0nu1BNnAqXWGrcL0f1J7JG4g01wfxvvuF0tIgoxOpJbDiIJPKGxvp+y5dCqJ/6Qnpnvs8dQme+j3egJQXdiDRE0e0fdJWujB1h44aOKbdwiaOCA0Ma1XOQZ+arDo4EfKnGSxbdIBKwLFuuCLXlnuAGjwIUCDv2AAhWdEKU+LRp6jBU7laVUVDFrVVFHR8jJfMITAnaIU/uDXXojCgO0UFVLV7b0Es5eMI4odEq7rD/+mUVm0IsNnDyFj6Mvntj0Eo1D91Z89Zhmo1WhUifBChb/tuuxjJ6lsjAqvjxjFMsOwkajDbgvZ+X5S21fvbz3+fuvdH7bevrrD/aRghZRwdYTCEt7WI2QLqa5bSAkEj+wrHvE5cQSQEEBCAAkBJASQEEBCAAkBJASQHJ5mvWtAkoA+WWomOzSaTU0MQefdC4+GTdLnJqendgdO+h9teUHgxPkxUbSqTWs1DUrQvKauLJZM6+SxbC47lAJFHWlxZzLdkDupLWNWi1WY5pjPkClPli/tPDFsoZHTZq3pkuGWd5TEzZJpZoB8FySOBl0nUVFGypBFOsafHFqGRfNiNtpLJVRdy+taQaYVVivQggF0WpWFPA3yKtBkSdIkFXpRds7QwL2ig9JYRVtawD1u1OJDArkFAKo7Tj1bvozHMaK9pK2VvMR2Vim0oba589x86RPxZKUCbWn0alb09ypfNktlzZjVzPmIjcCuEJwQNmy3ZBOTy5TdyuFX5wXGR4sVq3oOPb7zyw4574Wct52Lc3g8wf6FA84neNcngSLD/nsOtzy8q+6rWAQW0ERxERrPUUs3KBNYxEtLthsRtYmn0pNT4Eo1PuzLAZqG+d9DYxT7oJFycwu2md7NC+rvyNlhpWJaxfmFasTXwpq/CC7vINksgI6MjhWH0/tEzcF+4YwBXSGoGXaaHNXvaLEEdpEHdoB2mccMFNhR8jNFC1oDO6gA96NJWvj5d9STtOXhPg12yKNVKPrk/IndT9w3+vX/QljdaoFsAQA=</t>
        </r>
      </text>
    </comment>
  </commentList>
</comments>
</file>

<file path=xl/sharedStrings.xml><?xml version="1.0" encoding="utf-8"?>
<sst xmlns="http://schemas.openxmlformats.org/spreadsheetml/2006/main" count="29" uniqueCount="21">
  <si>
    <t>GDP: SNA08: Chain Linked(CL): 2024p: sa</t>
  </si>
  <si>
    <t>Real GDP: YoY: Quarterly: sa: Hong Kong SAR (China)</t>
  </si>
  <si>
    <t>Imports</t>
  </si>
  <si>
    <t>Exports</t>
  </si>
  <si>
    <t>Retail Sales Value (RSV)</t>
  </si>
  <si>
    <t>Total Return Index: Hang Seng Index</t>
  </si>
  <si>
    <t>HKEX: Index: Hang Seng</t>
  </si>
  <si>
    <t>HKEX: Turnover: Value</t>
  </si>
  <si>
    <t>NN: BIS: Selected Real Residential Property Price Index: 2010=100: Hong Kong SAR (China)</t>
  </si>
  <si>
    <t>Property Sales Transaction: Volume</t>
  </si>
  <si>
    <t>Property Sales Transaction: Value</t>
  </si>
  <si>
    <t>Effective Federal Funds Rate</t>
  </si>
  <si>
    <t>CN: PMI: Mfg: New Export Order</t>
  </si>
  <si>
    <t>Composite Consumer Price Index</t>
  </si>
  <si>
    <t>Unit</t>
  </si>
  <si>
    <t>%</t>
  </si>
  <si>
    <t>HKD mn</t>
  </si>
  <si>
    <t>02Jan1990=2838.07</t>
  </si>
  <si>
    <t>31Jul1964=100</t>
  </si>
  <si>
    <t>% pa</t>
  </si>
  <si>
    <t>Oct2019-Sep2020=100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</si>
</sst>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/>
    <xf numFmtId="0" fontId="2" fillId="0" borderId="0" xfId="0" applyNumberFormat="1" applyFont="1" applyAlignment="1"/>
    <xf numFmtId="0" fontId="0" fillId="0" borderId="0" xfId="0" applyAlignment="1"/>
    <xf numFmtId="164" fontId="2" fillId="0" borderId="0" xfId="0" applyNumberFormat="1" applyFont="1" applyAlignment="1"/>
    <xf numFmtId="164" fontId="0" fillId="0" borderId="0" xfId="0" applyNumberFormat="1" applyAlignment="1"/>
    <xf numFmtId="0" fontId="0" fillId="0" borderId="0" xfId="0" applyNumberFormat="1" applyFont="1" applyAlignment="1"/>
    <xf numFmtId="3" fontId="0" fillId="0" borderId="0" xfId="0" applyNumberFormat="1" applyFont="1" applyFill="1" applyAlignment="1"/>
    <xf numFmtId="0" fontId="0" fillId="0" borderId="0" xfId="0" applyNumberFormat="1" applyFont="1" applyFill="1" applyAlignment="1"/>
  </cellXfs>
  <cellStyles count="1">
    <cellStyle name="Normal" xfId="0" builtinId="0"/>
  </cellStyles>
  <dxfs count="4">
    <dxf>
      <font>
        <color rgb="FF000000"/>
      </font>
    </dxf>
    <dxf>
      <font>
        <color rgb="FFFF0000"/>
      </font>
    </dxf>
    <dxf>
      <numFmt numFmtId="165" formatCode="#,##0.00000"/>
    </dxf>
    <dxf>
      <numFmt numFmtId="165" formatCode="#,##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277" workbookViewId="0">
      <selection activeCell="G299" sqref="G299"/>
    </sheetView>
  </sheetViews>
  <sheetFormatPr defaultRowHeight="15" x14ac:dyDescent="0.25"/>
  <cols>
    <col min="2" max="2" width="15.42578125" customWidth="1"/>
    <col min="3" max="3" width="13" customWidth="1"/>
    <col min="4" max="4" width="14.42578125" customWidth="1"/>
    <col min="5" max="5" width="15" customWidth="1"/>
    <col min="6" max="6" width="14.85546875" customWidth="1"/>
    <col min="7" max="7" width="15.28515625" customWidth="1"/>
    <col min="8" max="8" width="15.7109375" customWidth="1"/>
    <col min="9" max="9" width="15.140625" customWidth="1"/>
    <col min="10" max="10" width="11.140625" customWidth="1"/>
    <col min="11" max="11" width="11.42578125" customWidth="1"/>
    <col min="12" max="12" width="14" customWidth="1"/>
    <col min="15" max="15" width="11.5703125" customWidth="1"/>
  </cols>
  <sheetData>
    <row r="1" spans="1:15" s="3" customFormat="1" x14ac:dyDescent="0.25">
      <c r="A1" s="1" t="str">
        <f>_xll.CEIC.Link("9cabcaf7-81af-4dec-974b-eb9ea766a69d", "Series", "Select this link and click Refresh/Edit Download to update data and add or remove series")</f>
        <v>Select this link and click Refresh/Edit Download to update data and add or remove series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s="3" customFormat="1" x14ac:dyDescent="0.25">
      <c r="A2" s="4" t="s">
        <v>14</v>
      </c>
      <c r="B2" s="2" t="s">
        <v>15</v>
      </c>
      <c r="C2" s="2" t="s">
        <v>15</v>
      </c>
      <c r="D2" s="2" t="s">
        <v>16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16</v>
      </c>
      <c r="J2" s="2" t="s">
        <v>15</v>
      </c>
      <c r="K2" s="2" t="s">
        <v>15</v>
      </c>
      <c r="L2" s="2" t="s">
        <v>16</v>
      </c>
      <c r="M2" s="2" t="s">
        <v>19</v>
      </c>
      <c r="N2" s="2" t="s">
        <v>15</v>
      </c>
      <c r="O2" s="2" t="s">
        <v>20</v>
      </c>
    </row>
    <row r="3" spans="1:15" s="3" customFormat="1" x14ac:dyDescent="0.25">
      <c r="A3" s="5">
        <v>19054</v>
      </c>
      <c r="B3" s="6"/>
      <c r="C3" s="6"/>
      <c r="D3" s="6">
        <v>1001</v>
      </c>
      <c r="E3" s="6">
        <v>648</v>
      </c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s="3" customFormat="1" x14ac:dyDescent="0.25">
      <c r="A4" s="5">
        <v>19146</v>
      </c>
      <c r="B4" s="6"/>
      <c r="C4" s="6"/>
      <c r="D4" s="6">
        <v>854</v>
      </c>
      <c r="E4" s="6">
        <v>662</v>
      </c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3" customFormat="1" x14ac:dyDescent="0.25">
      <c r="A5" s="5">
        <v>19238</v>
      </c>
      <c r="B5" s="6"/>
      <c r="C5" s="6"/>
      <c r="D5" s="6">
        <v>927</v>
      </c>
      <c r="E5" s="6">
        <v>776</v>
      </c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s="3" customFormat="1" x14ac:dyDescent="0.25">
      <c r="A6" s="5">
        <v>19329</v>
      </c>
      <c r="B6" s="6"/>
      <c r="C6" s="6"/>
      <c r="D6" s="6">
        <v>998</v>
      </c>
      <c r="E6" s="6">
        <v>814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3" customFormat="1" x14ac:dyDescent="0.25">
      <c r="A7" s="5">
        <v>19419</v>
      </c>
      <c r="B7" s="6"/>
      <c r="C7" s="6"/>
      <c r="D7" s="6">
        <v>1089</v>
      </c>
      <c r="E7" s="6">
        <v>775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s="3" customFormat="1" x14ac:dyDescent="0.25">
      <c r="A8" s="5">
        <v>19511</v>
      </c>
      <c r="B8" s="6"/>
      <c r="C8" s="6"/>
      <c r="D8" s="6">
        <v>1038</v>
      </c>
      <c r="E8" s="6">
        <v>774</v>
      </c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3" customFormat="1" x14ac:dyDescent="0.25">
      <c r="A9" s="5">
        <v>19603</v>
      </c>
      <c r="B9" s="6"/>
      <c r="C9" s="6"/>
      <c r="D9" s="6">
        <v>874</v>
      </c>
      <c r="E9" s="6">
        <v>565</v>
      </c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s="3" customFormat="1" x14ac:dyDescent="0.25">
      <c r="A10" s="5">
        <v>19694</v>
      </c>
      <c r="B10" s="6"/>
      <c r="C10" s="6"/>
      <c r="D10" s="6">
        <v>872</v>
      </c>
      <c r="E10" s="6">
        <v>620</v>
      </c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3" customFormat="1" x14ac:dyDescent="0.25">
      <c r="A11" s="5">
        <v>19784</v>
      </c>
      <c r="B11" s="6"/>
      <c r="C11" s="6"/>
      <c r="D11" s="6">
        <v>785</v>
      </c>
      <c r="E11" s="6">
        <v>582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s="3" customFormat="1" x14ac:dyDescent="0.25">
      <c r="A12" s="5">
        <v>19876</v>
      </c>
      <c r="B12" s="6"/>
      <c r="C12" s="6"/>
      <c r="D12" s="6">
        <v>853</v>
      </c>
      <c r="E12" s="6">
        <v>581</v>
      </c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3" customFormat="1" x14ac:dyDescent="0.25">
      <c r="A13" s="5">
        <v>19968</v>
      </c>
      <c r="B13" s="6"/>
      <c r="C13" s="6"/>
      <c r="D13" s="6">
        <v>865</v>
      </c>
      <c r="E13" s="6">
        <v>613</v>
      </c>
      <c r="F13" s="6"/>
      <c r="G13" s="6"/>
      <c r="H13" s="6"/>
      <c r="I13" s="6"/>
      <c r="J13" s="6"/>
      <c r="K13" s="6"/>
      <c r="L13" s="6"/>
      <c r="M13" s="6">
        <v>1.0022222222222223</v>
      </c>
      <c r="N13" s="6"/>
      <c r="O13" s="6"/>
    </row>
    <row r="14" spans="1:15" s="3" customFormat="1" x14ac:dyDescent="0.25">
      <c r="A14" s="5">
        <v>20059</v>
      </c>
      <c r="B14" s="6"/>
      <c r="C14" s="6"/>
      <c r="D14" s="6">
        <v>934</v>
      </c>
      <c r="E14" s="6">
        <v>640</v>
      </c>
      <c r="F14" s="6"/>
      <c r="G14" s="6"/>
      <c r="H14" s="6"/>
      <c r="I14" s="6"/>
      <c r="J14" s="6"/>
      <c r="K14" s="6"/>
      <c r="L14" s="6"/>
      <c r="M14" s="6">
        <v>0.99999999999999967</v>
      </c>
      <c r="N14" s="6"/>
      <c r="O14" s="6"/>
    </row>
    <row r="15" spans="1:15" s="3" customFormat="1" x14ac:dyDescent="0.25">
      <c r="A15" s="5">
        <v>20149</v>
      </c>
      <c r="B15" s="6"/>
      <c r="C15" s="6"/>
      <c r="D15" s="6">
        <v>935</v>
      </c>
      <c r="E15" s="6">
        <v>603</v>
      </c>
      <c r="F15" s="6"/>
      <c r="G15" s="6"/>
      <c r="H15" s="6"/>
      <c r="I15" s="6"/>
      <c r="J15" s="6"/>
      <c r="K15" s="6"/>
      <c r="L15" s="6"/>
      <c r="M15" s="6">
        <v>1.3112903225806445</v>
      </c>
      <c r="N15" s="6"/>
      <c r="O15" s="6"/>
    </row>
    <row r="16" spans="1:15" s="3" customFormat="1" x14ac:dyDescent="0.25">
      <c r="A16" s="5">
        <v>20241</v>
      </c>
      <c r="B16" s="6"/>
      <c r="C16" s="6"/>
      <c r="D16" s="6">
        <v>909</v>
      </c>
      <c r="E16" s="6">
        <v>582</v>
      </c>
      <c r="F16" s="6"/>
      <c r="G16" s="6"/>
      <c r="H16" s="6"/>
      <c r="I16" s="6"/>
      <c r="J16" s="6"/>
      <c r="K16" s="6"/>
      <c r="L16" s="6"/>
      <c r="M16" s="6">
        <v>1.4825396825396815</v>
      </c>
      <c r="N16" s="6"/>
      <c r="O16" s="6"/>
    </row>
    <row r="17" spans="1:15" s="3" customFormat="1" x14ac:dyDescent="0.25">
      <c r="A17" s="5">
        <v>20333</v>
      </c>
      <c r="B17" s="6"/>
      <c r="C17" s="6"/>
      <c r="D17" s="6">
        <v>870</v>
      </c>
      <c r="E17" s="6">
        <v>633</v>
      </c>
      <c r="F17" s="6"/>
      <c r="G17" s="6"/>
      <c r="H17" s="6"/>
      <c r="I17" s="6"/>
      <c r="J17" s="6"/>
      <c r="K17" s="6"/>
      <c r="L17" s="6"/>
      <c r="M17" s="6">
        <v>1.9343749999999993</v>
      </c>
      <c r="N17" s="6"/>
      <c r="O17" s="6"/>
    </row>
    <row r="18" spans="1:15" s="3" customFormat="1" x14ac:dyDescent="0.25">
      <c r="A18" s="5">
        <v>20424</v>
      </c>
      <c r="B18" s="6"/>
      <c r="C18" s="6"/>
      <c r="D18" s="6">
        <v>1005</v>
      </c>
      <c r="E18" s="6">
        <v>715</v>
      </c>
      <c r="F18" s="6"/>
      <c r="G18" s="6"/>
      <c r="H18" s="6"/>
      <c r="I18" s="6"/>
      <c r="J18" s="6"/>
      <c r="K18" s="6"/>
      <c r="L18" s="6"/>
      <c r="M18" s="6">
        <v>2.3542372881355926</v>
      </c>
      <c r="N18" s="6"/>
      <c r="O18" s="6"/>
    </row>
    <row r="19" spans="1:15" s="3" customFormat="1" x14ac:dyDescent="0.25">
      <c r="A19" s="5">
        <v>20515</v>
      </c>
      <c r="B19" s="6"/>
      <c r="C19" s="6"/>
      <c r="D19" s="6">
        <v>1107</v>
      </c>
      <c r="E19" s="6">
        <v>777</v>
      </c>
      <c r="F19" s="6"/>
      <c r="G19" s="6"/>
      <c r="H19" s="6"/>
      <c r="I19" s="6"/>
      <c r="J19" s="6"/>
      <c r="K19" s="6"/>
      <c r="L19" s="6"/>
      <c r="M19" s="6">
        <v>2.4745901639344261</v>
      </c>
      <c r="N19" s="6"/>
      <c r="O19" s="6"/>
    </row>
    <row r="20" spans="1:15" s="3" customFormat="1" x14ac:dyDescent="0.25">
      <c r="A20" s="5">
        <v>20607</v>
      </c>
      <c r="B20" s="6"/>
      <c r="C20" s="6"/>
      <c r="D20" s="6">
        <v>1231</v>
      </c>
      <c r="E20" s="6">
        <v>869</v>
      </c>
      <c r="F20" s="6"/>
      <c r="G20" s="6"/>
      <c r="H20" s="6"/>
      <c r="I20" s="6"/>
      <c r="J20" s="6"/>
      <c r="K20" s="6"/>
      <c r="L20" s="6"/>
      <c r="M20" s="6">
        <v>2.6828124999999998</v>
      </c>
      <c r="N20" s="6"/>
      <c r="O20" s="6"/>
    </row>
    <row r="21" spans="1:15" s="3" customFormat="1" x14ac:dyDescent="0.25">
      <c r="A21" s="5">
        <v>20699</v>
      </c>
      <c r="B21" s="6"/>
      <c r="C21" s="6"/>
      <c r="D21" s="6">
        <v>1070</v>
      </c>
      <c r="E21" s="6">
        <v>767</v>
      </c>
      <c r="F21" s="6"/>
      <c r="G21" s="6"/>
      <c r="H21" s="6"/>
      <c r="I21" s="6"/>
      <c r="J21" s="6"/>
      <c r="K21" s="6"/>
      <c r="L21" s="6"/>
      <c r="M21" s="6">
        <v>2.7839682539682538</v>
      </c>
      <c r="N21" s="6"/>
      <c r="O21" s="6"/>
    </row>
    <row r="22" spans="1:15" s="3" customFormat="1" x14ac:dyDescent="0.25">
      <c r="A22" s="5">
        <v>20790</v>
      </c>
      <c r="B22" s="6"/>
      <c r="C22" s="6"/>
      <c r="D22" s="6">
        <v>1158</v>
      </c>
      <c r="E22" s="6">
        <v>796</v>
      </c>
      <c r="F22" s="6"/>
      <c r="G22" s="6"/>
      <c r="H22" s="6"/>
      <c r="I22" s="6"/>
      <c r="J22" s="6"/>
      <c r="K22" s="6"/>
      <c r="L22" s="6"/>
      <c r="M22" s="6">
        <v>2.8964999999999992</v>
      </c>
      <c r="N22" s="6"/>
      <c r="O22" s="6"/>
    </row>
    <row r="23" spans="1:15" s="3" customFormat="1" x14ac:dyDescent="0.25">
      <c r="A23" s="5">
        <v>20880</v>
      </c>
      <c r="B23" s="6"/>
      <c r="C23" s="6"/>
      <c r="D23" s="6">
        <v>1395</v>
      </c>
      <c r="E23" s="6">
        <v>834</v>
      </c>
      <c r="F23" s="6"/>
      <c r="G23" s="6"/>
      <c r="H23" s="6"/>
      <c r="I23" s="6"/>
      <c r="J23" s="6"/>
      <c r="K23" s="6"/>
      <c r="L23" s="6"/>
      <c r="M23" s="6">
        <v>2.905081967213115</v>
      </c>
      <c r="N23" s="6"/>
      <c r="O23" s="6"/>
    </row>
    <row r="24" spans="1:15" s="3" customFormat="1" x14ac:dyDescent="0.25">
      <c r="A24" s="5">
        <v>20972</v>
      </c>
      <c r="B24" s="6"/>
      <c r="C24" s="6"/>
      <c r="D24" s="6">
        <v>1304</v>
      </c>
      <c r="E24" s="6">
        <v>744</v>
      </c>
      <c r="F24" s="6"/>
      <c r="G24" s="6"/>
      <c r="H24" s="6"/>
      <c r="I24" s="6"/>
      <c r="J24" s="6"/>
      <c r="K24" s="6"/>
      <c r="L24" s="6"/>
      <c r="M24" s="6">
        <v>3</v>
      </c>
      <c r="N24" s="6"/>
      <c r="O24" s="6"/>
    </row>
    <row r="25" spans="1:15" s="3" customFormat="1" x14ac:dyDescent="0.25">
      <c r="A25" s="5">
        <v>21064</v>
      </c>
      <c r="B25" s="6"/>
      <c r="C25" s="6"/>
      <c r="D25" s="6">
        <v>1204</v>
      </c>
      <c r="E25" s="6">
        <v>687</v>
      </c>
      <c r="F25" s="6"/>
      <c r="G25" s="6"/>
      <c r="H25" s="6"/>
      <c r="I25" s="6"/>
      <c r="J25" s="6"/>
      <c r="K25" s="6"/>
      <c r="L25" s="6"/>
      <c r="M25" s="6">
        <v>3.2182812499999995</v>
      </c>
      <c r="N25" s="6"/>
      <c r="O25" s="6"/>
    </row>
    <row r="26" spans="1:15" s="3" customFormat="1" x14ac:dyDescent="0.25">
      <c r="A26" s="5">
        <v>21155</v>
      </c>
      <c r="B26" s="6"/>
      <c r="C26" s="6"/>
      <c r="D26" s="6">
        <v>1246</v>
      </c>
      <c r="E26" s="6">
        <v>751</v>
      </c>
      <c r="F26" s="6"/>
      <c r="G26" s="6"/>
      <c r="H26" s="6"/>
      <c r="I26" s="6"/>
      <c r="J26" s="6"/>
      <c r="K26" s="6"/>
      <c r="L26" s="6"/>
      <c r="M26" s="6">
        <v>3.245967741935484</v>
      </c>
      <c r="N26" s="6"/>
      <c r="O26" s="6"/>
    </row>
    <row r="27" spans="1:15" s="3" customFormat="1" x14ac:dyDescent="0.25">
      <c r="A27" s="5">
        <v>21245</v>
      </c>
      <c r="B27" s="6"/>
      <c r="C27" s="6"/>
      <c r="D27" s="6">
        <v>1118</v>
      </c>
      <c r="E27" s="6">
        <v>694</v>
      </c>
      <c r="F27" s="6"/>
      <c r="G27" s="6"/>
      <c r="H27" s="6"/>
      <c r="I27" s="6"/>
      <c r="J27" s="6"/>
      <c r="K27" s="6"/>
      <c r="L27" s="6"/>
      <c r="M27" s="6">
        <v>1.8169354838709675</v>
      </c>
      <c r="N27" s="6"/>
      <c r="O27" s="6"/>
    </row>
    <row r="28" spans="1:15" s="3" customFormat="1" x14ac:dyDescent="0.25">
      <c r="A28" s="5">
        <v>21337</v>
      </c>
      <c r="B28" s="6"/>
      <c r="C28" s="6"/>
      <c r="D28" s="6">
        <v>1112</v>
      </c>
      <c r="E28" s="6">
        <v>710</v>
      </c>
      <c r="F28" s="6"/>
      <c r="G28" s="6"/>
      <c r="H28" s="6"/>
      <c r="I28" s="6"/>
      <c r="J28" s="6"/>
      <c r="K28" s="6"/>
      <c r="L28" s="6"/>
      <c r="M28" s="6">
        <v>0.93793650793650829</v>
      </c>
      <c r="N28" s="6"/>
      <c r="O28" s="6"/>
    </row>
    <row r="29" spans="1:15" s="3" customFormat="1" x14ac:dyDescent="0.25">
      <c r="A29" s="5">
        <v>21429</v>
      </c>
      <c r="B29" s="6"/>
      <c r="C29" s="6"/>
      <c r="D29" s="6">
        <v>1077</v>
      </c>
      <c r="E29" s="6">
        <v>731</v>
      </c>
      <c r="F29" s="6"/>
      <c r="G29" s="6"/>
      <c r="H29" s="6"/>
      <c r="I29" s="6"/>
      <c r="J29" s="6"/>
      <c r="K29" s="6"/>
      <c r="L29" s="6"/>
      <c r="M29" s="6">
        <v>1.2628124999999999</v>
      </c>
      <c r="N29" s="6"/>
      <c r="O29" s="6"/>
    </row>
    <row r="30" spans="1:15" s="3" customFormat="1" x14ac:dyDescent="0.25">
      <c r="A30" s="5">
        <v>21520</v>
      </c>
      <c r="B30" s="6"/>
      <c r="C30" s="6"/>
      <c r="D30" s="6">
        <v>1285</v>
      </c>
      <c r="E30" s="6">
        <v>854</v>
      </c>
      <c r="F30" s="6"/>
      <c r="G30" s="6"/>
      <c r="H30" s="6"/>
      <c r="I30" s="6"/>
      <c r="J30" s="6"/>
      <c r="K30" s="6"/>
      <c r="L30" s="6"/>
      <c r="M30" s="6">
        <v>2.1049180327868853</v>
      </c>
      <c r="N30" s="6"/>
      <c r="O30" s="6"/>
    </row>
    <row r="31" spans="1:15" s="3" customFormat="1" x14ac:dyDescent="0.25">
      <c r="A31" s="5">
        <v>21610</v>
      </c>
      <c r="B31" s="6"/>
      <c r="C31" s="6"/>
      <c r="D31" s="6">
        <v>1001</v>
      </c>
      <c r="E31" s="6">
        <v>662</v>
      </c>
      <c r="F31" s="6"/>
      <c r="G31" s="6"/>
      <c r="H31" s="6"/>
      <c r="I31" s="6"/>
      <c r="J31" s="6"/>
      <c r="K31" s="6"/>
      <c r="L31" s="6"/>
      <c r="M31" s="6">
        <v>2.5496721311475405</v>
      </c>
      <c r="N31" s="6"/>
      <c r="O31" s="6"/>
    </row>
    <row r="32" spans="1:15" s="3" customFormat="1" x14ac:dyDescent="0.25">
      <c r="A32" s="5">
        <v>21702</v>
      </c>
      <c r="B32" s="6"/>
      <c r="C32" s="6"/>
      <c r="D32" s="6">
        <v>1222</v>
      </c>
      <c r="E32" s="6">
        <v>814</v>
      </c>
      <c r="F32" s="6"/>
      <c r="G32" s="6"/>
      <c r="H32" s="6"/>
      <c r="I32" s="6"/>
      <c r="J32" s="6"/>
      <c r="K32" s="6"/>
      <c r="L32" s="6"/>
      <c r="M32" s="6">
        <v>3.0423076923076922</v>
      </c>
      <c r="N32" s="6"/>
      <c r="O32" s="6"/>
    </row>
    <row r="33" spans="1:15" s="3" customFormat="1" x14ac:dyDescent="0.25">
      <c r="A33" s="5">
        <v>21794</v>
      </c>
      <c r="B33" s="6"/>
      <c r="C33" s="6"/>
      <c r="D33" s="6">
        <v>1305</v>
      </c>
      <c r="E33" s="6">
        <v>844</v>
      </c>
      <c r="F33" s="6"/>
      <c r="G33" s="6"/>
      <c r="H33" s="6"/>
      <c r="I33" s="6"/>
      <c r="J33" s="6"/>
      <c r="K33" s="6"/>
      <c r="L33" s="6"/>
      <c r="M33" s="6">
        <v>3.5576923076923075</v>
      </c>
      <c r="N33" s="6"/>
      <c r="O33" s="6"/>
    </row>
    <row r="34" spans="1:15" s="3" customFormat="1" x14ac:dyDescent="0.25">
      <c r="A34" s="5">
        <v>21885</v>
      </c>
      <c r="B34" s="6"/>
      <c r="C34" s="6"/>
      <c r="D34" s="6">
        <v>1423</v>
      </c>
      <c r="E34" s="6">
        <v>958</v>
      </c>
      <c r="F34" s="6"/>
      <c r="G34" s="6"/>
      <c r="H34" s="6"/>
      <c r="I34" s="6"/>
      <c r="J34" s="6"/>
      <c r="K34" s="6"/>
      <c r="L34" s="6"/>
      <c r="M34" s="6">
        <v>3.9879032258064515</v>
      </c>
      <c r="N34" s="6"/>
      <c r="O34" s="6"/>
    </row>
    <row r="35" spans="1:15" s="3" customFormat="1" x14ac:dyDescent="0.25">
      <c r="A35" s="5">
        <v>21976</v>
      </c>
      <c r="B35" s="6"/>
      <c r="C35" s="6"/>
      <c r="D35" s="6">
        <v>1461</v>
      </c>
      <c r="E35" s="6">
        <v>974</v>
      </c>
      <c r="F35" s="6"/>
      <c r="G35" s="6"/>
      <c r="H35" s="6"/>
      <c r="I35" s="6"/>
      <c r="J35" s="6"/>
      <c r="K35" s="6"/>
      <c r="L35" s="6"/>
      <c r="M35" s="6">
        <v>3.899193548387097</v>
      </c>
      <c r="N35" s="6"/>
      <c r="O35" s="6"/>
    </row>
    <row r="36" spans="1:15" s="3" customFormat="1" x14ac:dyDescent="0.25">
      <c r="A36" s="5">
        <v>22068</v>
      </c>
      <c r="B36" s="6"/>
      <c r="C36" s="6"/>
      <c r="D36" s="6">
        <v>1469</v>
      </c>
      <c r="E36" s="6">
        <v>966</v>
      </c>
      <c r="F36" s="6"/>
      <c r="G36" s="6"/>
      <c r="H36" s="6"/>
      <c r="I36" s="6"/>
      <c r="J36" s="6"/>
      <c r="K36" s="6"/>
      <c r="L36" s="6"/>
      <c r="M36" s="6">
        <v>3.63671875</v>
      </c>
      <c r="N36" s="6"/>
      <c r="O36" s="6"/>
    </row>
    <row r="37" spans="1:15" s="3" customFormat="1" x14ac:dyDescent="0.25">
      <c r="A37" s="5">
        <v>22160</v>
      </c>
      <c r="B37" s="6"/>
      <c r="C37" s="6"/>
      <c r="D37" s="6">
        <v>1448</v>
      </c>
      <c r="E37" s="6">
        <v>1016</v>
      </c>
      <c r="F37" s="6"/>
      <c r="G37" s="6"/>
      <c r="H37" s="6"/>
      <c r="I37" s="6"/>
      <c r="J37" s="6"/>
      <c r="K37" s="6"/>
      <c r="L37" s="6"/>
      <c r="M37" s="6">
        <v>2.8671875</v>
      </c>
      <c r="N37" s="6"/>
      <c r="O37" s="6"/>
    </row>
    <row r="38" spans="1:15" s="3" customFormat="1" x14ac:dyDescent="0.25">
      <c r="A38" s="5">
        <v>22251</v>
      </c>
      <c r="B38" s="6"/>
      <c r="C38" s="6"/>
      <c r="D38" s="6">
        <v>1486</v>
      </c>
      <c r="E38" s="6">
        <v>980</v>
      </c>
      <c r="F38" s="6"/>
      <c r="G38" s="6"/>
      <c r="H38" s="6"/>
      <c r="I38" s="6"/>
      <c r="J38" s="6"/>
      <c r="K38" s="6"/>
      <c r="L38" s="6"/>
      <c r="M38" s="6">
        <v>2.2333333333333334</v>
      </c>
      <c r="N38" s="6"/>
      <c r="O38" s="6"/>
    </row>
    <row r="39" spans="1:15" s="3" customFormat="1" x14ac:dyDescent="0.25">
      <c r="A39" s="5">
        <v>22341</v>
      </c>
      <c r="B39" s="6"/>
      <c r="C39" s="6"/>
      <c r="D39" s="6">
        <v>1429</v>
      </c>
      <c r="E39" s="6">
        <v>954</v>
      </c>
      <c r="F39" s="6"/>
      <c r="G39" s="6"/>
      <c r="H39" s="6"/>
      <c r="I39" s="6"/>
      <c r="J39" s="6"/>
      <c r="K39" s="6"/>
      <c r="L39" s="6"/>
      <c r="M39" s="6">
        <v>1.9504761904761905</v>
      </c>
      <c r="N39" s="6"/>
      <c r="O39" s="6"/>
    </row>
    <row r="40" spans="1:15" s="3" customFormat="1" x14ac:dyDescent="0.25">
      <c r="A40" s="5">
        <v>22433</v>
      </c>
      <c r="B40" s="6"/>
      <c r="C40" s="6"/>
      <c r="D40" s="6">
        <v>1580</v>
      </c>
      <c r="E40" s="6">
        <v>931</v>
      </c>
      <c r="F40" s="6"/>
      <c r="G40" s="6"/>
      <c r="H40" s="6"/>
      <c r="I40" s="6"/>
      <c r="J40" s="6"/>
      <c r="K40" s="6"/>
      <c r="L40" s="6"/>
      <c r="M40" s="6">
        <v>1.703125</v>
      </c>
      <c r="N40" s="6"/>
      <c r="O40" s="6"/>
    </row>
    <row r="41" spans="1:15" s="3" customFormat="1" x14ac:dyDescent="0.25">
      <c r="A41" s="5">
        <v>22525</v>
      </c>
      <c r="B41" s="6"/>
      <c r="C41" s="6"/>
      <c r="D41" s="6">
        <v>1438</v>
      </c>
      <c r="E41" s="6">
        <v>1014</v>
      </c>
      <c r="F41" s="6"/>
      <c r="G41" s="6"/>
      <c r="H41" s="6"/>
      <c r="I41" s="6"/>
      <c r="J41" s="6"/>
      <c r="K41" s="6"/>
      <c r="L41" s="6"/>
      <c r="M41" s="6">
        <v>1.7420634920634921</v>
      </c>
      <c r="N41" s="6"/>
      <c r="O41" s="6"/>
    </row>
    <row r="42" spans="1:15" s="3" customFormat="1" x14ac:dyDescent="0.25">
      <c r="A42" s="5">
        <v>22616</v>
      </c>
      <c r="B42" s="6"/>
      <c r="C42" s="6"/>
      <c r="D42" s="6">
        <v>1525</v>
      </c>
      <c r="E42" s="6">
        <v>1032</v>
      </c>
      <c r="F42" s="6"/>
      <c r="G42" s="6"/>
      <c r="H42" s="6"/>
      <c r="I42" s="6"/>
      <c r="J42" s="6"/>
      <c r="K42" s="6"/>
      <c r="L42" s="6"/>
      <c r="M42" s="6">
        <v>2.3548387096774195</v>
      </c>
      <c r="N42" s="6"/>
      <c r="O42" s="6"/>
    </row>
    <row r="43" spans="1:15" s="3" customFormat="1" x14ac:dyDescent="0.25">
      <c r="A43" s="5">
        <v>22706</v>
      </c>
      <c r="B43" s="6"/>
      <c r="C43" s="6"/>
      <c r="D43" s="6">
        <v>1690</v>
      </c>
      <c r="E43" s="6">
        <v>1065</v>
      </c>
      <c r="F43" s="6"/>
      <c r="G43" s="6"/>
      <c r="H43" s="6"/>
      <c r="I43" s="6"/>
      <c r="J43" s="6"/>
      <c r="K43" s="6"/>
      <c r="L43" s="6"/>
      <c r="M43" s="6">
        <v>2.4233870967741935</v>
      </c>
      <c r="N43" s="6"/>
      <c r="O43" s="6"/>
    </row>
    <row r="44" spans="1:15" s="3" customFormat="1" x14ac:dyDescent="0.25">
      <c r="A44" s="5">
        <v>22798</v>
      </c>
      <c r="B44" s="6"/>
      <c r="C44" s="6"/>
      <c r="D44" s="6">
        <v>1652</v>
      </c>
      <c r="E44" s="6">
        <v>1040</v>
      </c>
      <c r="F44" s="6"/>
      <c r="G44" s="6"/>
      <c r="H44" s="6"/>
      <c r="I44" s="6"/>
      <c r="J44" s="6"/>
      <c r="K44" s="6"/>
      <c r="L44" s="6"/>
      <c r="M44" s="6">
        <v>2.640625</v>
      </c>
      <c r="N44" s="6"/>
      <c r="O44" s="6"/>
    </row>
    <row r="45" spans="1:15" s="3" customFormat="1" x14ac:dyDescent="0.25">
      <c r="A45" s="5">
        <v>22890</v>
      </c>
      <c r="B45" s="6"/>
      <c r="C45" s="6"/>
      <c r="D45" s="6">
        <v>1586</v>
      </c>
      <c r="E45" s="6">
        <v>1097</v>
      </c>
      <c r="F45" s="6"/>
      <c r="G45" s="6"/>
      <c r="H45" s="6"/>
      <c r="I45" s="6"/>
      <c r="J45" s="6"/>
      <c r="K45" s="6"/>
      <c r="L45" s="6"/>
      <c r="M45" s="6">
        <v>2.8452380952380953</v>
      </c>
      <c r="N45" s="6"/>
      <c r="O45" s="6"/>
    </row>
    <row r="46" spans="1:15" s="3" customFormat="1" x14ac:dyDescent="0.25">
      <c r="A46" s="5">
        <v>22981</v>
      </c>
      <c r="B46" s="6"/>
      <c r="C46" s="6"/>
      <c r="D46" s="6">
        <v>1730</v>
      </c>
      <c r="E46" s="6">
        <v>1187</v>
      </c>
      <c r="F46" s="6"/>
      <c r="G46" s="6"/>
      <c r="H46" s="6"/>
      <c r="I46" s="6"/>
      <c r="J46" s="6"/>
      <c r="K46" s="6"/>
      <c r="L46" s="6"/>
      <c r="M46" s="6">
        <v>2.9221666666666661</v>
      </c>
      <c r="N46" s="6"/>
      <c r="O46" s="6"/>
    </row>
    <row r="47" spans="1:15" s="3" customFormat="1" x14ac:dyDescent="0.25">
      <c r="A47" s="5">
        <v>23071</v>
      </c>
      <c r="B47" s="6"/>
      <c r="C47" s="6"/>
      <c r="D47" s="6">
        <v>1718</v>
      </c>
      <c r="E47" s="6">
        <v>1163</v>
      </c>
      <c r="F47" s="6"/>
      <c r="G47" s="6"/>
      <c r="H47" s="6"/>
      <c r="I47" s="6"/>
      <c r="J47" s="6"/>
      <c r="K47" s="6"/>
      <c r="L47" s="6"/>
      <c r="M47" s="6">
        <v>2.9532786885245899</v>
      </c>
      <c r="N47" s="6"/>
      <c r="O47" s="6"/>
    </row>
    <row r="48" spans="1:15" s="3" customFormat="1" x14ac:dyDescent="0.25">
      <c r="A48" s="5">
        <v>23163</v>
      </c>
      <c r="B48" s="6"/>
      <c r="C48" s="6"/>
      <c r="D48" s="6">
        <v>1849</v>
      </c>
      <c r="E48" s="6">
        <v>1211</v>
      </c>
      <c r="F48" s="6"/>
      <c r="G48" s="6"/>
      <c r="H48" s="6"/>
      <c r="I48" s="6"/>
      <c r="J48" s="6"/>
      <c r="K48" s="6"/>
      <c r="L48" s="6"/>
      <c r="M48" s="6">
        <v>2.9525396825396824</v>
      </c>
      <c r="N48" s="6"/>
      <c r="O48" s="6"/>
    </row>
    <row r="49" spans="1:15" s="3" customFormat="1" x14ac:dyDescent="0.25">
      <c r="A49" s="5">
        <v>23255</v>
      </c>
      <c r="B49" s="6"/>
      <c r="C49" s="6"/>
      <c r="D49" s="6">
        <v>1825</v>
      </c>
      <c r="E49" s="6">
        <v>1283</v>
      </c>
      <c r="F49" s="6"/>
      <c r="G49" s="6"/>
      <c r="H49" s="6"/>
      <c r="I49" s="6"/>
      <c r="J49" s="6"/>
      <c r="K49" s="6"/>
      <c r="L49" s="6"/>
      <c r="M49" s="6">
        <v>3.3012499999999996</v>
      </c>
      <c r="N49" s="6"/>
      <c r="O49" s="6"/>
    </row>
    <row r="50" spans="1:15" s="3" customFormat="1" x14ac:dyDescent="0.25">
      <c r="A50" s="5">
        <v>23346</v>
      </c>
      <c r="B50" s="6"/>
      <c r="C50" s="6"/>
      <c r="D50" s="6">
        <v>2020</v>
      </c>
      <c r="E50" s="6">
        <v>1334</v>
      </c>
      <c r="F50" s="6"/>
      <c r="G50" s="6"/>
      <c r="H50" s="6"/>
      <c r="I50" s="6"/>
      <c r="J50" s="6"/>
      <c r="K50" s="6"/>
      <c r="L50" s="6"/>
      <c r="M50" s="6">
        <v>3.4304918032786884</v>
      </c>
      <c r="N50" s="6"/>
      <c r="O50" s="6"/>
    </row>
    <row r="51" spans="1:15" s="3" customFormat="1" x14ac:dyDescent="0.25">
      <c r="A51" s="5">
        <v>23437</v>
      </c>
      <c r="B51" s="6"/>
      <c r="C51" s="6"/>
      <c r="D51" s="6">
        <v>2038</v>
      </c>
      <c r="E51" s="6">
        <v>1356</v>
      </c>
      <c r="F51" s="6"/>
      <c r="G51" s="6"/>
      <c r="H51" s="6"/>
      <c r="I51" s="6"/>
      <c r="J51" s="6"/>
      <c r="K51" s="6"/>
      <c r="L51" s="6"/>
      <c r="M51" s="6">
        <v>3.4525396825396824</v>
      </c>
      <c r="N51" s="6"/>
      <c r="O51" s="6"/>
    </row>
    <row r="52" spans="1:15" s="3" customFormat="1" x14ac:dyDescent="0.25">
      <c r="A52" s="5">
        <v>23529</v>
      </c>
      <c r="B52" s="6"/>
      <c r="C52" s="6"/>
      <c r="D52" s="6">
        <v>2207</v>
      </c>
      <c r="E52" s="6">
        <v>1429</v>
      </c>
      <c r="F52" s="6"/>
      <c r="G52" s="6"/>
      <c r="H52" s="6"/>
      <c r="I52" s="6"/>
      <c r="J52" s="6"/>
      <c r="K52" s="6"/>
      <c r="L52" s="6"/>
      <c r="M52" s="6">
        <v>3.4830769230769225</v>
      </c>
      <c r="N52" s="6"/>
      <c r="O52" s="6"/>
    </row>
    <row r="53" spans="1:15" s="3" customFormat="1" x14ac:dyDescent="0.25">
      <c r="A53" s="5">
        <v>23621</v>
      </c>
      <c r="B53" s="6"/>
      <c r="C53" s="6"/>
      <c r="D53" s="6">
        <v>2084</v>
      </c>
      <c r="E53" s="6">
        <v>1448</v>
      </c>
      <c r="F53" s="6"/>
      <c r="G53" s="6"/>
      <c r="H53" s="6"/>
      <c r="I53" s="6"/>
      <c r="J53" s="6"/>
      <c r="K53" s="6"/>
      <c r="L53" s="6"/>
      <c r="M53" s="6">
        <v>3.4384615384615387</v>
      </c>
      <c r="N53" s="6"/>
      <c r="O53" s="6"/>
    </row>
    <row r="54" spans="1:15" s="3" customFormat="1" x14ac:dyDescent="0.25">
      <c r="A54" s="5">
        <v>23712</v>
      </c>
      <c r="B54" s="6"/>
      <c r="C54" s="6"/>
      <c r="D54" s="6">
        <v>2220</v>
      </c>
      <c r="E54" s="6">
        <v>1551</v>
      </c>
      <c r="F54" s="6"/>
      <c r="G54" s="6"/>
      <c r="H54" s="6"/>
      <c r="I54" s="6"/>
      <c r="J54" s="6"/>
      <c r="K54" s="6"/>
      <c r="L54" s="6"/>
      <c r="M54" s="6">
        <v>3.5434426229508191</v>
      </c>
      <c r="N54" s="6"/>
      <c r="O54" s="6"/>
    </row>
    <row r="55" spans="1:15" s="3" customFormat="1" x14ac:dyDescent="0.25">
      <c r="A55" s="5">
        <v>23802</v>
      </c>
      <c r="B55" s="6"/>
      <c r="C55" s="6"/>
      <c r="D55" s="6">
        <v>2239</v>
      </c>
      <c r="E55" s="6">
        <v>1579</v>
      </c>
      <c r="F55" s="6"/>
      <c r="G55" s="6"/>
      <c r="H55" s="6"/>
      <c r="I55" s="6"/>
      <c r="J55" s="6"/>
      <c r="K55" s="6"/>
      <c r="L55" s="6"/>
      <c r="M55" s="6">
        <v>3.9536065573770487</v>
      </c>
      <c r="N55" s="6"/>
      <c r="O55" s="6"/>
    </row>
    <row r="56" spans="1:15" s="3" customFormat="1" x14ac:dyDescent="0.25">
      <c r="A56" s="5">
        <v>23894</v>
      </c>
      <c r="B56" s="6"/>
      <c r="C56" s="6"/>
      <c r="D56" s="6">
        <v>2254</v>
      </c>
      <c r="E56" s="6">
        <v>1549</v>
      </c>
      <c r="F56" s="6"/>
      <c r="G56" s="6"/>
      <c r="H56" s="6"/>
      <c r="I56" s="6"/>
      <c r="J56" s="6"/>
      <c r="K56" s="6"/>
      <c r="L56" s="6"/>
      <c r="M56" s="6">
        <v>4.0621874999999985</v>
      </c>
      <c r="N56" s="6"/>
      <c r="O56" s="6"/>
    </row>
    <row r="57" spans="1:15" s="3" customFormat="1" x14ac:dyDescent="0.25">
      <c r="A57" s="5">
        <v>23986</v>
      </c>
      <c r="B57" s="6"/>
      <c r="C57" s="6"/>
      <c r="D57" s="6">
        <v>2099</v>
      </c>
      <c r="E57" s="6">
        <v>1603</v>
      </c>
      <c r="F57" s="6"/>
      <c r="G57" s="6"/>
      <c r="H57" s="6"/>
      <c r="I57" s="6"/>
      <c r="J57" s="6"/>
      <c r="K57" s="6"/>
      <c r="L57" s="6"/>
      <c r="M57" s="6">
        <v>4.0507812499999973</v>
      </c>
      <c r="N57" s="6"/>
      <c r="O57" s="6"/>
    </row>
    <row r="58" spans="1:15" s="3" customFormat="1" x14ac:dyDescent="0.25">
      <c r="A58" s="5">
        <v>24077</v>
      </c>
      <c r="B58" s="6"/>
      <c r="C58" s="6"/>
      <c r="D58" s="6">
        <v>2374</v>
      </c>
      <c r="E58" s="6">
        <v>1799</v>
      </c>
      <c r="F58" s="6"/>
      <c r="G58" s="6"/>
      <c r="H58" s="6"/>
      <c r="I58" s="6"/>
      <c r="J58" s="6"/>
      <c r="K58" s="6"/>
      <c r="L58" s="6"/>
      <c r="M58" s="6">
        <v>4.1422222222222214</v>
      </c>
      <c r="N58" s="6"/>
      <c r="O58" s="6"/>
    </row>
    <row r="59" spans="1:15" s="3" customFormat="1" x14ac:dyDescent="0.25">
      <c r="A59" s="5">
        <v>24167</v>
      </c>
      <c r="B59" s="6"/>
      <c r="C59" s="6"/>
      <c r="D59" s="6">
        <v>2244</v>
      </c>
      <c r="E59" s="6">
        <v>1695</v>
      </c>
      <c r="F59" s="6"/>
      <c r="G59" s="6"/>
      <c r="H59" s="6"/>
      <c r="I59" s="6"/>
      <c r="J59" s="6"/>
      <c r="K59" s="6"/>
      <c r="L59" s="6"/>
      <c r="M59" s="6">
        <v>4.5209523809523793</v>
      </c>
      <c r="N59" s="6"/>
      <c r="O59" s="6"/>
    </row>
    <row r="60" spans="1:15" s="3" customFormat="1" x14ac:dyDescent="0.25">
      <c r="A60" s="5">
        <v>24259</v>
      </c>
      <c r="B60" s="6"/>
      <c r="C60" s="6"/>
      <c r="D60" s="6">
        <v>2339</v>
      </c>
      <c r="E60" s="6">
        <v>1691</v>
      </c>
      <c r="F60" s="6"/>
      <c r="G60" s="6"/>
      <c r="H60" s="6"/>
      <c r="I60" s="6"/>
      <c r="J60" s="6"/>
      <c r="K60" s="6"/>
      <c r="L60" s="6"/>
      <c r="M60" s="6">
        <v>4.8746874999999985</v>
      </c>
      <c r="N60" s="6"/>
      <c r="O60" s="6"/>
    </row>
    <row r="61" spans="1:15" s="3" customFormat="1" x14ac:dyDescent="0.25">
      <c r="A61" s="5">
        <v>24351</v>
      </c>
      <c r="B61" s="6"/>
      <c r="C61" s="6"/>
      <c r="D61" s="6">
        <v>2748</v>
      </c>
      <c r="E61" s="6">
        <v>2018</v>
      </c>
      <c r="F61" s="6"/>
      <c r="G61" s="6"/>
      <c r="H61" s="6"/>
      <c r="I61" s="6"/>
      <c r="J61" s="6"/>
      <c r="K61" s="6"/>
      <c r="L61" s="6"/>
      <c r="M61" s="6">
        <v>5.3178124999999987</v>
      </c>
      <c r="N61" s="6"/>
      <c r="O61" s="6"/>
    </row>
    <row r="62" spans="1:15" s="3" customFormat="1" x14ac:dyDescent="0.25">
      <c r="A62" s="5">
        <v>24442</v>
      </c>
      <c r="B62" s="6"/>
      <c r="C62" s="6"/>
      <c r="D62" s="6">
        <v>2766</v>
      </c>
      <c r="E62" s="6">
        <v>2159</v>
      </c>
      <c r="F62" s="6"/>
      <c r="G62" s="6"/>
      <c r="H62" s="6"/>
      <c r="I62" s="6"/>
      <c r="J62" s="6"/>
      <c r="K62" s="6"/>
      <c r="L62" s="6"/>
      <c r="M62" s="6">
        <v>5.528688524590164</v>
      </c>
      <c r="N62" s="6"/>
      <c r="O62" s="6"/>
    </row>
    <row r="63" spans="1:15" s="3" customFormat="1" x14ac:dyDescent="0.25">
      <c r="A63" s="5">
        <v>24532</v>
      </c>
      <c r="B63" s="6"/>
      <c r="C63" s="6"/>
      <c r="D63" s="6">
        <v>2838</v>
      </c>
      <c r="E63" s="6">
        <v>2069</v>
      </c>
      <c r="F63" s="6"/>
      <c r="G63" s="6"/>
      <c r="H63" s="6"/>
      <c r="I63" s="6"/>
      <c r="J63" s="6"/>
      <c r="K63" s="6"/>
      <c r="L63" s="6"/>
      <c r="M63" s="6">
        <v>4.7661290322580649</v>
      </c>
      <c r="N63" s="6"/>
      <c r="O63" s="6"/>
    </row>
    <row r="64" spans="1:15" s="3" customFormat="1" x14ac:dyDescent="0.25">
      <c r="A64" s="5">
        <v>24624</v>
      </c>
      <c r="B64" s="6"/>
      <c r="C64" s="6"/>
      <c r="D64" s="6">
        <v>2627</v>
      </c>
      <c r="E64" s="6">
        <v>2090</v>
      </c>
      <c r="F64" s="6"/>
      <c r="G64" s="6"/>
      <c r="H64" s="6"/>
      <c r="I64" s="6"/>
      <c r="J64" s="6"/>
      <c r="K64" s="6"/>
      <c r="L64" s="6"/>
      <c r="M64" s="6">
        <v>3.9732812499999994</v>
      </c>
      <c r="N64" s="6"/>
      <c r="O64" s="6"/>
    </row>
    <row r="65" spans="1:15" s="3" customFormat="1" x14ac:dyDescent="0.25">
      <c r="A65" s="5">
        <v>24716</v>
      </c>
      <c r="B65" s="6"/>
      <c r="C65" s="6"/>
      <c r="D65" s="6">
        <v>2079</v>
      </c>
      <c r="E65" s="6">
        <v>2113</v>
      </c>
      <c r="F65" s="6"/>
      <c r="G65" s="6"/>
      <c r="H65" s="6"/>
      <c r="I65" s="6"/>
      <c r="J65" s="6"/>
      <c r="K65" s="6"/>
      <c r="L65" s="6"/>
      <c r="M65" s="6">
        <v>3.8857142857142848</v>
      </c>
      <c r="N65" s="6"/>
      <c r="O65" s="6"/>
    </row>
    <row r="66" spans="1:15" s="3" customFormat="1" x14ac:dyDescent="0.25">
      <c r="A66" s="5">
        <v>24807</v>
      </c>
      <c r="B66" s="6"/>
      <c r="C66" s="6"/>
      <c r="D66" s="6">
        <v>2906</v>
      </c>
      <c r="E66" s="6">
        <v>2508</v>
      </c>
      <c r="F66" s="6"/>
      <c r="G66" s="6"/>
      <c r="H66" s="6"/>
      <c r="I66" s="6"/>
      <c r="J66" s="6"/>
      <c r="K66" s="6"/>
      <c r="L66" s="6"/>
      <c r="M66" s="6">
        <v>4.1637704918032776</v>
      </c>
      <c r="N66" s="6"/>
      <c r="O66" s="6"/>
    </row>
    <row r="67" spans="1:15" s="3" customFormat="1" x14ac:dyDescent="0.25">
      <c r="A67" s="5">
        <v>24898</v>
      </c>
      <c r="B67" s="6"/>
      <c r="C67" s="6"/>
      <c r="D67" s="6">
        <v>2756</v>
      </c>
      <c r="E67" s="6">
        <v>2136</v>
      </c>
      <c r="F67" s="6"/>
      <c r="G67" s="6"/>
      <c r="H67" s="6"/>
      <c r="I67" s="6"/>
      <c r="J67" s="6"/>
      <c r="K67" s="6"/>
      <c r="L67" s="6"/>
      <c r="M67" s="6">
        <v>4.7698387096774182</v>
      </c>
      <c r="N67" s="6"/>
      <c r="O67" s="6"/>
    </row>
    <row r="68" spans="1:15" s="3" customFormat="1" x14ac:dyDescent="0.25">
      <c r="A68" s="5">
        <v>24990</v>
      </c>
      <c r="B68" s="6"/>
      <c r="C68" s="6"/>
      <c r="D68" s="6">
        <v>3014</v>
      </c>
      <c r="E68" s="6">
        <v>2522</v>
      </c>
      <c r="F68" s="6"/>
      <c r="G68" s="6"/>
      <c r="H68" s="6"/>
      <c r="I68" s="6"/>
      <c r="J68" s="6"/>
      <c r="K68" s="6"/>
      <c r="L68" s="6"/>
      <c r="M68" s="6">
        <v>5.9720634920634907</v>
      </c>
      <c r="N68" s="6"/>
      <c r="O68" s="6"/>
    </row>
    <row r="69" spans="1:15" s="3" customFormat="1" x14ac:dyDescent="0.25">
      <c r="A69" s="5">
        <v>25082</v>
      </c>
      <c r="B69" s="6"/>
      <c r="C69" s="6"/>
      <c r="D69" s="6">
        <v>3142</v>
      </c>
      <c r="E69" s="6">
        <v>2813</v>
      </c>
      <c r="F69" s="6"/>
      <c r="G69" s="6"/>
      <c r="H69" s="6"/>
      <c r="I69" s="6"/>
      <c r="J69" s="6"/>
      <c r="K69" s="6"/>
      <c r="L69" s="6"/>
      <c r="M69" s="6">
        <v>5.9454687499999981</v>
      </c>
      <c r="N69" s="6"/>
      <c r="O69" s="6"/>
    </row>
    <row r="70" spans="1:15" s="3" customFormat="1" x14ac:dyDescent="0.25">
      <c r="A70" s="5">
        <v>25173</v>
      </c>
      <c r="B70" s="6"/>
      <c r="C70" s="6"/>
      <c r="D70" s="6">
        <v>3559</v>
      </c>
      <c r="E70" s="6">
        <v>3099</v>
      </c>
      <c r="F70" s="6"/>
      <c r="G70" s="6"/>
      <c r="H70" s="6"/>
      <c r="I70" s="6"/>
      <c r="J70" s="6"/>
      <c r="K70" s="6"/>
      <c r="L70" s="6"/>
      <c r="M70" s="6">
        <v>5.8491935483870954</v>
      </c>
      <c r="N70" s="6"/>
      <c r="O70" s="6"/>
    </row>
    <row r="71" spans="1:15" s="3" customFormat="1" x14ac:dyDescent="0.25">
      <c r="A71" s="5">
        <v>25263</v>
      </c>
      <c r="B71" s="6"/>
      <c r="C71" s="6"/>
      <c r="D71" s="6">
        <v>3074</v>
      </c>
      <c r="E71" s="6">
        <v>2708</v>
      </c>
      <c r="F71" s="6"/>
      <c r="G71" s="6"/>
      <c r="H71" s="6"/>
      <c r="I71" s="6"/>
      <c r="J71" s="6"/>
      <c r="K71" s="6"/>
      <c r="L71" s="6"/>
      <c r="M71" s="6">
        <v>6.5277777777777759</v>
      </c>
      <c r="N71" s="6"/>
      <c r="O71" s="6"/>
    </row>
    <row r="72" spans="1:15" s="3" customFormat="1" x14ac:dyDescent="0.25">
      <c r="A72" s="5">
        <v>25355</v>
      </c>
      <c r="B72" s="6"/>
      <c r="C72" s="6"/>
      <c r="D72" s="6">
        <v>3619</v>
      </c>
      <c r="E72" s="6">
        <v>3048</v>
      </c>
      <c r="F72" s="6"/>
      <c r="G72" s="6"/>
      <c r="H72" s="6"/>
      <c r="I72" s="6"/>
      <c r="J72" s="6"/>
      <c r="K72" s="6"/>
      <c r="L72" s="6"/>
      <c r="M72" s="6">
        <v>8.1381249999999987</v>
      </c>
      <c r="N72" s="6"/>
      <c r="O72" s="6"/>
    </row>
    <row r="73" spans="1:15" s="3" customFormat="1" x14ac:dyDescent="0.25">
      <c r="A73" s="5">
        <v>25447</v>
      </c>
      <c r="B73" s="6"/>
      <c r="C73" s="6"/>
      <c r="D73" s="6">
        <v>3785</v>
      </c>
      <c r="E73" s="6">
        <v>3545</v>
      </c>
      <c r="F73" s="6"/>
      <c r="G73" s="6"/>
      <c r="H73" s="6"/>
      <c r="I73" s="6"/>
      <c r="J73" s="6"/>
      <c r="K73" s="6"/>
      <c r="L73" s="6"/>
      <c r="M73" s="6">
        <v>8.8360937499999999</v>
      </c>
      <c r="N73" s="6"/>
      <c r="O73" s="6"/>
    </row>
    <row r="74" spans="1:15" s="3" customFormat="1" x14ac:dyDescent="0.25">
      <c r="A74" s="5">
        <v>25538</v>
      </c>
      <c r="B74" s="6"/>
      <c r="C74" s="6"/>
      <c r="D74" s="6">
        <v>4415</v>
      </c>
      <c r="E74" s="6">
        <v>3894</v>
      </c>
      <c r="F74" s="6"/>
      <c r="G74" s="6"/>
      <c r="H74" s="6"/>
      <c r="I74" s="6"/>
      <c r="J74" s="6"/>
      <c r="K74" s="6"/>
      <c r="L74" s="6"/>
      <c r="M74" s="6">
        <v>8.801311475409836</v>
      </c>
      <c r="N74" s="6"/>
      <c r="O74" s="6"/>
    </row>
    <row r="75" spans="1:15" s="3" customFormat="1" x14ac:dyDescent="0.25">
      <c r="A75" s="5">
        <v>25628</v>
      </c>
      <c r="B75" s="6"/>
      <c r="C75" s="6"/>
      <c r="D75" s="6">
        <v>3874</v>
      </c>
      <c r="E75" s="6">
        <v>3231</v>
      </c>
      <c r="F75" s="6"/>
      <c r="G75" s="6"/>
      <c r="H75" s="6"/>
      <c r="I75" s="6"/>
      <c r="J75" s="6"/>
      <c r="K75" s="6"/>
      <c r="L75" s="6"/>
      <c r="M75" s="6">
        <v>8.5206451612903216</v>
      </c>
      <c r="N75" s="6"/>
      <c r="O75" s="6"/>
    </row>
    <row r="76" spans="1:15" s="3" customFormat="1" x14ac:dyDescent="0.25">
      <c r="A76" s="5">
        <v>25720</v>
      </c>
      <c r="B76" s="6"/>
      <c r="C76" s="6"/>
      <c r="D76" s="6">
        <v>4379</v>
      </c>
      <c r="E76" s="6">
        <v>3749</v>
      </c>
      <c r="F76" s="6"/>
      <c r="G76" s="6"/>
      <c r="H76" s="6"/>
      <c r="I76" s="6"/>
      <c r="J76" s="6"/>
      <c r="K76" s="6"/>
      <c r="L76" s="6"/>
      <c r="M76" s="6">
        <v>7.8279999999999994</v>
      </c>
      <c r="N76" s="6"/>
      <c r="O76" s="6"/>
    </row>
    <row r="77" spans="1:15" s="3" customFormat="1" x14ac:dyDescent="0.25">
      <c r="A77" s="5">
        <v>25812</v>
      </c>
      <c r="B77" s="6"/>
      <c r="C77" s="6"/>
      <c r="D77" s="6">
        <v>4440</v>
      </c>
      <c r="E77" s="6">
        <v>4094</v>
      </c>
      <c r="F77" s="6"/>
      <c r="G77" s="6"/>
      <c r="H77" s="6"/>
      <c r="I77" s="6"/>
      <c r="J77" s="6"/>
      <c r="K77" s="6"/>
      <c r="L77" s="6"/>
      <c r="M77" s="6">
        <v>6.6844615384615365</v>
      </c>
      <c r="N77" s="6"/>
      <c r="O77" s="6"/>
    </row>
    <row r="78" spans="1:15" s="3" customFormat="1" x14ac:dyDescent="0.25">
      <c r="A78" s="5">
        <v>25903</v>
      </c>
      <c r="B78" s="6"/>
      <c r="C78" s="6"/>
      <c r="D78" s="6">
        <v>4914</v>
      </c>
      <c r="E78" s="6">
        <v>4165</v>
      </c>
      <c r="F78" s="6"/>
      <c r="G78" s="6"/>
      <c r="H78" s="6"/>
      <c r="I78" s="6"/>
      <c r="J78" s="6"/>
      <c r="K78" s="6"/>
      <c r="L78" s="6"/>
      <c r="M78" s="6">
        <v>5.5353968253968242</v>
      </c>
      <c r="N78" s="6"/>
      <c r="O78" s="6"/>
    </row>
    <row r="79" spans="1:15" s="3" customFormat="1" x14ac:dyDescent="0.25">
      <c r="A79" s="5">
        <v>25993</v>
      </c>
      <c r="B79" s="6"/>
      <c r="C79" s="6"/>
      <c r="D79" s="6">
        <v>4726</v>
      </c>
      <c r="E79" s="6">
        <v>3638</v>
      </c>
      <c r="F79" s="6"/>
      <c r="G79" s="6"/>
      <c r="H79" s="6"/>
      <c r="I79" s="6"/>
      <c r="J79" s="6"/>
      <c r="K79" s="6"/>
      <c r="L79" s="6"/>
      <c r="M79" s="6">
        <v>3.8870491803278675</v>
      </c>
      <c r="N79" s="6"/>
      <c r="O79" s="6"/>
    </row>
    <row r="80" spans="1:15" s="3" customFormat="1" x14ac:dyDescent="0.25">
      <c r="A80" s="5">
        <v>26085</v>
      </c>
      <c r="B80" s="6"/>
      <c r="C80" s="6"/>
      <c r="D80" s="6">
        <v>5342</v>
      </c>
      <c r="E80" s="6">
        <v>4317</v>
      </c>
      <c r="F80" s="6"/>
      <c r="G80" s="6"/>
      <c r="H80" s="6"/>
      <c r="I80" s="6"/>
      <c r="J80" s="6"/>
      <c r="K80" s="6"/>
      <c r="L80" s="6"/>
      <c r="M80" s="6">
        <v>4.5765624999999988</v>
      </c>
      <c r="N80" s="6"/>
      <c r="O80" s="6"/>
    </row>
    <row r="81" spans="1:15" s="3" customFormat="1" x14ac:dyDescent="0.25">
      <c r="A81" s="5">
        <v>26177</v>
      </c>
      <c r="B81" s="6"/>
      <c r="C81" s="6"/>
      <c r="D81" s="6">
        <v>4926</v>
      </c>
      <c r="E81" s="6">
        <v>4678</v>
      </c>
      <c r="F81" s="6"/>
      <c r="G81" s="6"/>
      <c r="H81" s="6"/>
      <c r="I81" s="6"/>
      <c r="J81" s="6"/>
      <c r="K81" s="6"/>
      <c r="L81" s="6"/>
      <c r="M81" s="6">
        <v>5.466093749999998</v>
      </c>
      <c r="N81" s="6"/>
      <c r="O81" s="6"/>
    </row>
    <row r="82" spans="1:15" s="3" customFormat="1" x14ac:dyDescent="0.25">
      <c r="A82" s="5">
        <v>26268</v>
      </c>
      <c r="B82" s="6"/>
      <c r="C82" s="6"/>
      <c r="D82" s="6">
        <v>5263</v>
      </c>
      <c r="E82" s="6">
        <v>4531</v>
      </c>
      <c r="F82" s="6"/>
      <c r="G82" s="6"/>
      <c r="H82" s="6"/>
      <c r="I82" s="6"/>
      <c r="J82" s="6"/>
      <c r="K82" s="6"/>
      <c r="L82" s="6"/>
      <c r="M82" s="6">
        <v>4.6891935483870952</v>
      </c>
      <c r="N82" s="6"/>
      <c r="O82" s="6"/>
    </row>
    <row r="83" spans="1:15" s="3" customFormat="1" x14ac:dyDescent="0.25">
      <c r="A83" s="5">
        <v>26359</v>
      </c>
      <c r="B83" s="6"/>
      <c r="C83" s="6"/>
      <c r="D83" s="6">
        <v>4773</v>
      </c>
      <c r="E83" s="6">
        <v>4185</v>
      </c>
      <c r="F83" s="6"/>
      <c r="G83" s="6"/>
      <c r="H83" s="6"/>
      <c r="I83" s="6"/>
      <c r="J83" s="6"/>
      <c r="K83" s="6"/>
      <c r="L83" s="6"/>
      <c r="M83" s="6">
        <v>3.5743749999999985</v>
      </c>
      <c r="N83" s="6"/>
      <c r="O83" s="6"/>
    </row>
    <row r="84" spans="1:15" s="3" customFormat="1" x14ac:dyDescent="0.25">
      <c r="A84" s="5">
        <v>26451</v>
      </c>
      <c r="B84" s="6"/>
      <c r="C84" s="6"/>
      <c r="D84" s="6">
        <v>5534</v>
      </c>
      <c r="E84" s="6">
        <v>4621</v>
      </c>
      <c r="F84" s="6"/>
      <c r="G84" s="6"/>
      <c r="H84" s="6"/>
      <c r="I84" s="6"/>
      <c r="J84" s="6"/>
      <c r="K84" s="6"/>
      <c r="L84" s="6"/>
      <c r="M84" s="6">
        <v>4.3046874999999991</v>
      </c>
      <c r="N84" s="6"/>
      <c r="O84" s="6"/>
    </row>
    <row r="85" spans="1:15" s="3" customFormat="1" x14ac:dyDescent="0.25">
      <c r="A85" s="5">
        <v>26543</v>
      </c>
      <c r="B85" s="6"/>
      <c r="C85" s="6"/>
      <c r="D85" s="6">
        <v>5660</v>
      </c>
      <c r="E85" s="6">
        <v>5347</v>
      </c>
      <c r="F85" s="6"/>
      <c r="G85" s="6"/>
      <c r="H85" s="6"/>
      <c r="I85" s="6"/>
      <c r="J85" s="6"/>
      <c r="K85" s="6"/>
      <c r="L85" s="6"/>
      <c r="M85" s="6">
        <v>4.727777777777777</v>
      </c>
      <c r="N85" s="6"/>
      <c r="O85" s="6"/>
    </row>
    <row r="86" spans="1:15" s="3" customFormat="1" x14ac:dyDescent="0.25">
      <c r="A86" s="5">
        <v>26634</v>
      </c>
      <c r="B86" s="6"/>
      <c r="C86" s="6"/>
      <c r="D86" s="6">
        <v>5796</v>
      </c>
      <c r="E86" s="6">
        <v>5244</v>
      </c>
      <c r="F86" s="6"/>
      <c r="G86" s="6"/>
      <c r="H86" s="6"/>
      <c r="I86" s="6"/>
      <c r="J86" s="6"/>
      <c r="K86" s="6"/>
      <c r="L86" s="6"/>
      <c r="M86" s="6">
        <v>5.1511666666666667</v>
      </c>
      <c r="N86" s="6"/>
      <c r="O86" s="6"/>
    </row>
    <row r="87" spans="1:15" s="3" customFormat="1" x14ac:dyDescent="0.25">
      <c r="A87" s="5">
        <v>26724</v>
      </c>
      <c r="B87" s="6"/>
      <c r="C87" s="6"/>
      <c r="D87" s="6">
        <v>5709</v>
      </c>
      <c r="E87" s="6">
        <v>4945</v>
      </c>
      <c r="F87" s="6"/>
      <c r="G87" s="6"/>
      <c r="H87" s="6"/>
      <c r="I87" s="6"/>
      <c r="J87" s="6"/>
      <c r="K87" s="6"/>
      <c r="L87" s="6"/>
      <c r="M87" s="6">
        <v>6.5099999999999989</v>
      </c>
      <c r="N87" s="6"/>
      <c r="O87" s="6"/>
    </row>
    <row r="88" spans="1:15" s="3" customFormat="1" x14ac:dyDescent="0.25">
      <c r="A88" s="5">
        <v>26816</v>
      </c>
      <c r="B88" s="6"/>
      <c r="C88" s="6"/>
      <c r="D88" s="6">
        <v>6655</v>
      </c>
      <c r="E88" s="6">
        <v>5759</v>
      </c>
      <c r="F88" s="6"/>
      <c r="G88" s="6"/>
      <c r="H88" s="6"/>
      <c r="I88" s="6"/>
      <c r="J88" s="6"/>
      <c r="K88" s="6"/>
      <c r="L88" s="6"/>
      <c r="M88" s="6">
        <v>7.8112499999999985</v>
      </c>
      <c r="N88" s="6"/>
      <c r="O88" s="6"/>
    </row>
    <row r="89" spans="1:15" s="3" customFormat="1" x14ac:dyDescent="0.25">
      <c r="A89" s="5">
        <v>26908</v>
      </c>
      <c r="B89" s="6"/>
      <c r="C89" s="6"/>
      <c r="D89" s="6">
        <v>7533</v>
      </c>
      <c r="E89" s="6">
        <v>7479</v>
      </c>
      <c r="F89" s="6"/>
      <c r="G89" s="6"/>
      <c r="H89" s="6"/>
      <c r="I89" s="6"/>
      <c r="J89" s="6"/>
      <c r="K89" s="6"/>
      <c r="L89" s="6"/>
      <c r="M89" s="6">
        <v>10.523333333333333</v>
      </c>
      <c r="N89" s="6"/>
      <c r="O89" s="6"/>
    </row>
    <row r="90" spans="1:15" s="3" customFormat="1" x14ac:dyDescent="0.25">
      <c r="A90" s="5">
        <v>26999</v>
      </c>
      <c r="B90" s="6"/>
      <c r="C90" s="6"/>
      <c r="D90" s="6">
        <v>9108</v>
      </c>
      <c r="E90" s="6">
        <v>7816</v>
      </c>
      <c r="F90" s="6"/>
      <c r="G90" s="6"/>
      <c r="H90" s="6"/>
      <c r="I90" s="6"/>
      <c r="J90" s="6"/>
      <c r="K90" s="6"/>
      <c r="L90" s="6"/>
      <c r="M90" s="6">
        <v>9.9782258064516132</v>
      </c>
      <c r="N90" s="6"/>
      <c r="O90" s="6"/>
    </row>
    <row r="91" spans="1:15" s="3" customFormat="1" x14ac:dyDescent="0.25">
      <c r="A91" s="5">
        <v>27089</v>
      </c>
      <c r="B91" s="6"/>
      <c r="C91" s="6"/>
      <c r="D91" s="6">
        <v>8065</v>
      </c>
      <c r="E91" s="6">
        <v>7077</v>
      </c>
      <c r="F91" s="6"/>
      <c r="G91" s="6"/>
      <c r="H91" s="6"/>
      <c r="I91" s="6"/>
      <c r="J91" s="6"/>
      <c r="K91" s="6"/>
      <c r="L91" s="6"/>
      <c r="M91" s="6">
        <v>9.3258064516129053</v>
      </c>
      <c r="N91" s="6"/>
      <c r="O91" s="6"/>
    </row>
    <row r="92" spans="1:15" s="3" customFormat="1" x14ac:dyDescent="0.25">
      <c r="A92" s="5">
        <v>27181</v>
      </c>
      <c r="B92" s="6"/>
      <c r="C92" s="6"/>
      <c r="D92" s="6">
        <v>9773</v>
      </c>
      <c r="E92" s="6">
        <v>8093</v>
      </c>
      <c r="F92" s="6"/>
      <c r="G92" s="6"/>
      <c r="H92" s="6"/>
      <c r="I92" s="6"/>
      <c r="J92" s="6"/>
      <c r="K92" s="6"/>
      <c r="L92" s="6"/>
      <c r="M92" s="6">
        <v>11.180312500000001</v>
      </c>
      <c r="N92" s="6"/>
      <c r="O92" s="6"/>
    </row>
    <row r="93" spans="1:15" s="3" customFormat="1" x14ac:dyDescent="0.25">
      <c r="A93" s="5">
        <v>27273</v>
      </c>
      <c r="B93" s="6"/>
      <c r="C93" s="6"/>
      <c r="D93" s="6">
        <v>8711</v>
      </c>
      <c r="E93" s="6">
        <v>8085</v>
      </c>
      <c r="F93" s="6"/>
      <c r="G93" s="6"/>
      <c r="H93" s="6"/>
      <c r="I93" s="6"/>
      <c r="J93" s="6"/>
      <c r="K93" s="6"/>
      <c r="L93" s="6"/>
      <c r="M93" s="6">
        <v>12.07609375</v>
      </c>
      <c r="N93" s="6"/>
      <c r="O93" s="6"/>
    </row>
    <row r="94" spans="1:15" s="3" customFormat="1" x14ac:dyDescent="0.25">
      <c r="A94" s="5">
        <v>27364</v>
      </c>
      <c r="B94" s="6"/>
      <c r="C94" s="6"/>
      <c r="D94" s="6">
        <v>7569</v>
      </c>
      <c r="E94" s="6">
        <v>6780</v>
      </c>
      <c r="F94" s="6"/>
      <c r="G94" s="6"/>
      <c r="H94" s="6"/>
      <c r="I94" s="6"/>
      <c r="J94" s="6"/>
      <c r="K94" s="6"/>
      <c r="L94" s="6"/>
      <c r="M94" s="6">
        <v>9.3112903225806445</v>
      </c>
      <c r="N94" s="6"/>
      <c r="O94" s="6"/>
    </row>
    <row r="95" spans="1:15" s="3" customFormat="1" x14ac:dyDescent="0.25">
      <c r="A95" s="5">
        <v>27454</v>
      </c>
      <c r="B95" s="6"/>
      <c r="C95" s="6"/>
      <c r="D95" s="6">
        <v>6994.39</v>
      </c>
      <c r="E95" s="6">
        <v>6086.74</v>
      </c>
      <c r="F95" s="6"/>
      <c r="G95" s="6"/>
      <c r="H95" s="6"/>
      <c r="I95" s="6"/>
      <c r="J95" s="6"/>
      <c r="K95" s="6"/>
      <c r="L95" s="6"/>
      <c r="M95" s="6">
        <v>6.2967741935483854</v>
      </c>
      <c r="N95" s="6"/>
      <c r="O95" s="6"/>
    </row>
    <row r="96" spans="1:15" s="3" customFormat="1" x14ac:dyDescent="0.25">
      <c r="A96" s="5">
        <v>27546</v>
      </c>
      <c r="B96" s="6"/>
      <c r="C96" s="6"/>
      <c r="D96" s="6">
        <v>7824.58</v>
      </c>
      <c r="E96" s="6">
        <v>6929.93</v>
      </c>
      <c r="F96" s="6"/>
      <c r="G96" s="6"/>
      <c r="H96" s="6"/>
      <c r="I96" s="6"/>
      <c r="J96" s="6"/>
      <c r="K96" s="6"/>
      <c r="L96" s="6"/>
      <c r="M96" s="6">
        <v>5.4260937499999997</v>
      </c>
      <c r="N96" s="6"/>
      <c r="O96" s="6"/>
    </row>
    <row r="97" spans="1:15" s="3" customFormat="1" x14ac:dyDescent="0.25">
      <c r="A97" s="5">
        <v>27638</v>
      </c>
      <c r="B97" s="6"/>
      <c r="C97" s="6"/>
      <c r="D97" s="6">
        <v>8890.369999999999</v>
      </c>
      <c r="E97" s="6">
        <v>8314.57</v>
      </c>
      <c r="F97" s="6"/>
      <c r="G97" s="6"/>
      <c r="H97" s="6"/>
      <c r="I97" s="6"/>
      <c r="J97" s="6"/>
      <c r="K97" s="6"/>
      <c r="L97" s="6"/>
      <c r="M97" s="6">
        <v>6.1432812500000011</v>
      </c>
      <c r="N97" s="6"/>
      <c r="O97" s="6"/>
    </row>
    <row r="98" spans="1:15" s="3" customFormat="1" x14ac:dyDescent="0.25">
      <c r="A98" s="5">
        <v>27729</v>
      </c>
      <c r="B98" s="6"/>
      <c r="C98" s="6"/>
      <c r="D98" s="6">
        <v>9762.2999999999993</v>
      </c>
      <c r="E98" s="6">
        <v>8500.7200000000012</v>
      </c>
      <c r="F98" s="6"/>
      <c r="G98" s="6"/>
      <c r="H98" s="6"/>
      <c r="I98" s="6"/>
      <c r="J98" s="6"/>
      <c r="K98" s="6"/>
      <c r="L98" s="6"/>
      <c r="M98" s="6">
        <v>5.403225806451613</v>
      </c>
      <c r="N98" s="6"/>
      <c r="O98" s="6"/>
    </row>
    <row r="99" spans="1:15" s="3" customFormat="1" x14ac:dyDescent="0.25">
      <c r="A99" s="5">
        <v>27820</v>
      </c>
      <c r="B99" s="6"/>
      <c r="C99" s="6"/>
      <c r="D99" s="6">
        <v>9717.25</v>
      </c>
      <c r="E99" s="6">
        <v>8955.2999999999993</v>
      </c>
      <c r="F99" s="6"/>
      <c r="G99" s="6"/>
      <c r="H99" s="6"/>
      <c r="I99" s="6"/>
      <c r="J99" s="6"/>
      <c r="K99" s="6"/>
      <c r="L99" s="6"/>
      <c r="M99" s="6">
        <v>4.8130158730158747</v>
      </c>
      <c r="N99" s="6"/>
      <c r="O99" s="6"/>
    </row>
    <row r="100" spans="1:15" s="3" customFormat="1" x14ac:dyDescent="0.25">
      <c r="A100" s="5">
        <v>27912</v>
      </c>
      <c r="B100" s="6"/>
      <c r="C100" s="6"/>
      <c r="D100" s="6">
        <v>10889.21</v>
      </c>
      <c r="E100" s="6">
        <v>10104.02</v>
      </c>
      <c r="F100" s="6"/>
      <c r="G100" s="6"/>
      <c r="H100" s="6"/>
      <c r="I100" s="6"/>
      <c r="J100" s="6"/>
      <c r="K100" s="6"/>
      <c r="L100" s="6"/>
      <c r="M100" s="6">
        <v>5.1935937499999989</v>
      </c>
      <c r="N100" s="6"/>
      <c r="O100" s="6"/>
    </row>
    <row r="101" spans="1:15" s="3" customFormat="1" x14ac:dyDescent="0.25">
      <c r="A101" s="5">
        <v>28004</v>
      </c>
      <c r="B101" s="6"/>
      <c r="C101" s="6"/>
      <c r="D101" s="6">
        <v>10971.89</v>
      </c>
      <c r="E101" s="6">
        <v>11253.92</v>
      </c>
      <c r="F101" s="6"/>
      <c r="G101" s="6"/>
      <c r="H101" s="6"/>
      <c r="I101" s="6"/>
      <c r="J101" s="6"/>
      <c r="K101" s="6"/>
      <c r="L101" s="6"/>
      <c r="M101" s="6">
        <v>5.2839062500000002</v>
      </c>
      <c r="N101" s="6"/>
      <c r="O101" s="6"/>
    </row>
    <row r="102" spans="1:15" s="3" customFormat="1" x14ac:dyDescent="0.25">
      <c r="A102" s="5">
        <v>28095</v>
      </c>
      <c r="B102" s="6"/>
      <c r="C102" s="6"/>
      <c r="D102" s="6">
        <v>11714.18</v>
      </c>
      <c r="E102" s="6">
        <v>11243.68</v>
      </c>
      <c r="F102" s="6"/>
      <c r="G102" s="6"/>
      <c r="H102" s="6"/>
      <c r="I102" s="6"/>
      <c r="J102" s="6"/>
      <c r="K102" s="6"/>
      <c r="L102" s="6"/>
      <c r="M102" s="6">
        <v>4.865322580645163</v>
      </c>
      <c r="N102" s="6"/>
      <c r="O102" s="6"/>
    </row>
    <row r="103" spans="1:15" s="3" customFormat="1" x14ac:dyDescent="0.25">
      <c r="A103" s="5">
        <v>28185</v>
      </c>
      <c r="B103" s="6"/>
      <c r="C103" s="6"/>
      <c r="D103" s="6">
        <v>11142.03</v>
      </c>
      <c r="E103" s="6">
        <v>9533.82</v>
      </c>
      <c r="F103" s="6"/>
      <c r="G103" s="6"/>
      <c r="H103" s="6">
        <v>417.27</v>
      </c>
      <c r="I103" s="6"/>
      <c r="J103" s="6"/>
      <c r="K103" s="6"/>
      <c r="L103" s="6"/>
      <c r="M103" s="6">
        <v>4.677142857142857</v>
      </c>
      <c r="N103" s="6"/>
      <c r="O103" s="6"/>
    </row>
    <row r="104" spans="1:15" s="3" customFormat="1" x14ac:dyDescent="0.25">
      <c r="A104" s="5">
        <v>28277</v>
      </c>
      <c r="B104" s="6"/>
      <c r="C104" s="6"/>
      <c r="D104" s="6">
        <v>12297.51</v>
      </c>
      <c r="E104" s="6">
        <v>10851.93</v>
      </c>
      <c r="F104" s="6"/>
      <c r="G104" s="6"/>
      <c r="H104" s="6">
        <v>439.59</v>
      </c>
      <c r="I104" s="6"/>
      <c r="J104" s="6"/>
      <c r="K104" s="6"/>
      <c r="L104" s="6"/>
      <c r="M104" s="6">
        <v>5.1576562500000005</v>
      </c>
      <c r="N104" s="6"/>
      <c r="O104" s="6"/>
    </row>
    <row r="105" spans="1:15" s="3" customFormat="1" x14ac:dyDescent="0.25">
      <c r="A105" s="5">
        <v>28369</v>
      </c>
      <c r="B105" s="6"/>
      <c r="C105" s="6"/>
      <c r="D105" s="6">
        <v>11742.66</v>
      </c>
      <c r="E105" s="6">
        <v>12174.97</v>
      </c>
      <c r="F105" s="6"/>
      <c r="G105" s="6"/>
      <c r="H105" s="6">
        <v>417.09</v>
      </c>
      <c r="I105" s="6"/>
      <c r="J105" s="6"/>
      <c r="K105" s="6"/>
      <c r="L105" s="6"/>
      <c r="M105" s="6">
        <v>5.8366666666666642</v>
      </c>
      <c r="N105" s="6"/>
      <c r="O105" s="6"/>
    </row>
    <row r="106" spans="1:15" s="3" customFormat="1" x14ac:dyDescent="0.25">
      <c r="A106" s="5">
        <v>28460</v>
      </c>
      <c r="B106" s="6"/>
      <c r="C106" s="6"/>
      <c r="D106" s="6">
        <v>13518.830000000002</v>
      </c>
      <c r="E106" s="6">
        <v>12272.47</v>
      </c>
      <c r="F106" s="6"/>
      <c r="G106" s="6"/>
      <c r="H106" s="6">
        <v>404.02</v>
      </c>
      <c r="I106" s="6"/>
      <c r="J106" s="6"/>
      <c r="K106" s="6"/>
      <c r="L106" s="6"/>
      <c r="M106" s="6">
        <v>6.5145901639344244</v>
      </c>
      <c r="N106" s="6"/>
      <c r="O106" s="6"/>
    </row>
    <row r="107" spans="1:15" s="3" customFormat="1" x14ac:dyDescent="0.25">
      <c r="A107" s="5">
        <v>28550</v>
      </c>
      <c r="B107" s="6"/>
      <c r="C107" s="6"/>
      <c r="D107" s="6">
        <v>13080.28</v>
      </c>
      <c r="E107" s="6">
        <v>10352.82</v>
      </c>
      <c r="F107" s="6"/>
      <c r="G107" s="6"/>
      <c r="H107" s="6">
        <v>449.44</v>
      </c>
      <c r="I107" s="6"/>
      <c r="J107" s="6"/>
      <c r="K107" s="6"/>
      <c r="L107" s="6"/>
      <c r="M107" s="6">
        <v>6.7807936507936493</v>
      </c>
      <c r="N107" s="6"/>
      <c r="O107" s="6"/>
    </row>
    <row r="108" spans="1:15" s="3" customFormat="1" x14ac:dyDescent="0.25">
      <c r="A108" s="5">
        <v>28642</v>
      </c>
      <c r="B108" s="6"/>
      <c r="C108" s="6"/>
      <c r="D108" s="6">
        <v>15133.52</v>
      </c>
      <c r="E108" s="6">
        <v>12989.169999999998</v>
      </c>
      <c r="F108" s="6"/>
      <c r="G108" s="6"/>
      <c r="H108" s="6">
        <v>556.88</v>
      </c>
      <c r="I108" s="6"/>
      <c r="J108" s="6"/>
      <c r="K108" s="6"/>
      <c r="L108" s="6"/>
      <c r="M108" s="6">
        <v>7.297538461538462</v>
      </c>
      <c r="N108" s="6"/>
      <c r="O108" s="6"/>
    </row>
    <row r="109" spans="1:15" s="3" customFormat="1" x14ac:dyDescent="0.25">
      <c r="A109" s="5">
        <v>28734</v>
      </c>
      <c r="B109" s="6"/>
      <c r="C109" s="6"/>
      <c r="D109" s="6">
        <v>15791.789999999999</v>
      </c>
      <c r="E109" s="6">
        <v>14649.960000000001</v>
      </c>
      <c r="F109" s="6"/>
      <c r="G109" s="6"/>
      <c r="H109" s="6">
        <v>633.14</v>
      </c>
      <c r="I109" s="6"/>
      <c r="J109" s="6"/>
      <c r="K109" s="6"/>
      <c r="L109" s="6"/>
      <c r="M109" s="6">
        <v>8.1042857142857141</v>
      </c>
      <c r="N109" s="6"/>
      <c r="O109" s="6"/>
    </row>
    <row r="110" spans="1:15" s="3" customFormat="1" x14ac:dyDescent="0.25">
      <c r="A110" s="5">
        <v>28825</v>
      </c>
      <c r="B110" s="6"/>
      <c r="C110" s="6"/>
      <c r="D110" s="6">
        <v>18833.54</v>
      </c>
      <c r="E110" s="6">
        <v>15748.25</v>
      </c>
      <c r="F110" s="6"/>
      <c r="G110" s="6"/>
      <c r="H110" s="6">
        <v>495.51</v>
      </c>
      <c r="I110" s="6"/>
      <c r="J110" s="6"/>
      <c r="K110" s="6"/>
      <c r="L110" s="6"/>
      <c r="M110" s="6">
        <v>9.5725806451612918</v>
      </c>
      <c r="N110" s="6"/>
      <c r="O110" s="6"/>
    </row>
    <row r="111" spans="1:15" s="3" customFormat="1" x14ac:dyDescent="0.25">
      <c r="A111" s="5">
        <v>28915</v>
      </c>
      <c r="B111" s="6"/>
      <c r="C111" s="6"/>
      <c r="D111" s="6">
        <v>17441.47</v>
      </c>
      <c r="E111" s="6">
        <v>14238.2</v>
      </c>
      <c r="F111" s="6"/>
      <c r="G111" s="6"/>
      <c r="H111" s="6">
        <v>537.66</v>
      </c>
      <c r="I111" s="6"/>
      <c r="J111" s="6"/>
      <c r="K111" s="6"/>
      <c r="L111" s="6"/>
      <c r="M111" s="6">
        <v>10.070793650793654</v>
      </c>
      <c r="N111" s="6"/>
      <c r="O111" s="6"/>
    </row>
    <row r="112" spans="1:15" s="3" customFormat="1" x14ac:dyDescent="0.25">
      <c r="A112" s="5">
        <v>29007</v>
      </c>
      <c r="B112" s="6"/>
      <c r="C112" s="6"/>
      <c r="D112" s="6">
        <v>20963.099999999999</v>
      </c>
      <c r="E112" s="6">
        <v>18283.64</v>
      </c>
      <c r="F112" s="6"/>
      <c r="G112" s="6"/>
      <c r="H112" s="6">
        <v>539.32000000000005</v>
      </c>
      <c r="I112" s="6"/>
      <c r="J112" s="6"/>
      <c r="K112" s="6"/>
      <c r="L112" s="6"/>
      <c r="M112" s="6">
        <v>10.184769230769227</v>
      </c>
      <c r="N112" s="6"/>
      <c r="O112" s="6"/>
    </row>
    <row r="113" spans="1:15" s="3" customFormat="1" x14ac:dyDescent="0.25">
      <c r="A113" s="5">
        <v>29099</v>
      </c>
      <c r="B113" s="6"/>
      <c r="C113" s="6"/>
      <c r="D113" s="6">
        <v>22537.19</v>
      </c>
      <c r="E113" s="6">
        <v>21441.46</v>
      </c>
      <c r="F113" s="6"/>
      <c r="G113" s="6"/>
      <c r="H113" s="6">
        <v>685.83</v>
      </c>
      <c r="I113" s="6"/>
      <c r="J113" s="6"/>
      <c r="K113" s="6"/>
      <c r="L113" s="6"/>
      <c r="M113" s="6">
        <v>10.921746031746032</v>
      </c>
      <c r="N113" s="6"/>
      <c r="O113" s="6"/>
    </row>
    <row r="114" spans="1:15" s="3" customFormat="1" x14ac:dyDescent="0.25">
      <c r="A114" s="5">
        <v>29190</v>
      </c>
      <c r="B114" s="6"/>
      <c r="C114" s="6"/>
      <c r="D114" s="6">
        <v>24858.559999999998</v>
      </c>
      <c r="E114" s="6">
        <v>21950.560000000001</v>
      </c>
      <c r="F114" s="6"/>
      <c r="G114" s="6"/>
      <c r="H114" s="6">
        <v>879.38</v>
      </c>
      <c r="I114" s="6"/>
      <c r="J114" s="6"/>
      <c r="K114" s="6"/>
      <c r="L114" s="6"/>
      <c r="M114" s="6">
        <v>13.574677419354838</v>
      </c>
      <c r="N114" s="6"/>
      <c r="O114" s="6"/>
    </row>
    <row r="115" spans="1:15" s="3" customFormat="1" x14ac:dyDescent="0.25">
      <c r="A115" s="5">
        <v>29281</v>
      </c>
      <c r="B115" s="6"/>
      <c r="C115" s="6"/>
      <c r="D115" s="6">
        <v>24215.199999999997</v>
      </c>
      <c r="E115" s="6">
        <v>19749.669999999998</v>
      </c>
      <c r="F115" s="6"/>
      <c r="G115" s="6"/>
      <c r="H115" s="6">
        <v>783.22</v>
      </c>
      <c r="I115" s="6"/>
      <c r="J115" s="6"/>
      <c r="K115" s="6"/>
      <c r="L115" s="6"/>
      <c r="M115" s="6">
        <v>15.002258064516127</v>
      </c>
      <c r="N115" s="6"/>
      <c r="O115" s="6"/>
    </row>
    <row r="116" spans="1:15" s="3" customFormat="1" x14ac:dyDescent="0.25">
      <c r="A116" s="5">
        <v>29373</v>
      </c>
      <c r="B116" s="6"/>
      <c r="C116" s="6"/>
      <c r="D116" s="6">
        <v>27817.230000000003</v>
      </c>
      <c r="E116" s="6">
        <v>24642.2</v>
      </c>
      <c r="F116" s="6"/>
      <c r="G116" s="6"/>
      <c r="H116" s="6">
        <v>1066.8399999999999</v>
      </c>
      <c r="I116" s="6"/>
      <c r="J116" s="6"/>
      <c r="K116" s="6"/>
      <c r="L116" s="6"/>
      <c r="M116" s="6">
        <v>12.565238095238094</v>
      </c>
      <c r="N116" s="6"/>
      <c r="O116" s="6"/>
    </row>
    <row r="117" spans="1:15" s="3" customFormat="1" x14ac:dyDescent="0.25">
      <c r="A117" s="5">
        <v>29465</v>
      </c>
      <c r="B117" s="6"/>
      <c r="C117" s="6"/>
      <c r="D117" s="6">
        <v>28029.34</v>
      </c>
      <c r="E117" s="6">
        <v>26736.83</v>
      </c>
      <c r="F117" s="6"/>
      <c r="G117" s="6"/>
      <c r="H117" s="6">
        <v>1213.68</v>
      </c>
      <c r="I117" s="6"/>
      <c r="J117" s="6"/>
      <c r="K117" s="6"/>
      <c r="L117" s="6"/>
      <c r="M117" s="6">
        <v>9.7600000000000051</v>
      </c>
      <c r="N117" s="6"/>
      <c r="O117" s="6"/>
    </row>
    <row r="118" spans="1:15" s="3" customFormat="1" x14ac:dyDescent="0.25">
      <c r="A118" s="5">
        <v>29556</v>
      </c>
      <c r="B118" s="6"/>
      <c r="C118" s="6"/>
      <c r="D118" s="6">
        <v>31778.79</v>
      </c>
      <c r="E118" s="6">
        <v>27222.490000000005</v>
      </c>
      <c r="F118" s="6"/>
      <c r="G118" s="6"/>
      <c r="H118" s="6">
        <v>1473.59</v>
      </c>
      <c r="I118" s="6"/>
      <c r="J118" s="6">
        <v>20.084900432418795</v>
      </c>
      <c r="K118" s="6"/>
      <c r="L118" s="6"/>
      <c r="M118" s="6">
        <v>15.876229508196726</v>
      </c>
      <c r="N118" s="6"/>
      <c r="O118" s="6">
        <v>19.566666666666666</v>
      </c>
    </row>
    <row r="119" spans="1:15" s="3" customFormat="1" x14ac:dyDescent="0.25">
      <c r="A119" s="5">
        <v>29646</v>
      </c>
      <c r="B119" s="6"/>
      <c r="C119" s="6"/>
      <c r="D119" s="6">
        <v>31101.83</v>
      </c>
      <c r="E119" s="6">
        <v>25601.42</v>
      </c>
      <c r="F119" s="6">
        <v>11764</v>
      </c>
      <c r="G119" s="6"/>
      <c r="H119" s="6">
        <v>1369.65</v>
      </c>
      <c r="I119" s="6"/>
      <c r="J119" s="6">
        <v>18.243454952323386</v>
      </c>
      <c r="K119" s="6"/>
      <c r="L119" s="6"/>
      <c r="M119" s="6">
        <v>16.497540983606562</v>
      </c>
      <c r="N119" s="6"/>
      <c r="O119" s="6">
        <v>20.366666666666664</v>
      </c>
    </row>
    <row r="120" spans="1:15" s="3" customFormat="1" x14ac:dyDescent="0.25">
      <c r="A120" s="5">
        <v>29738</v>
      </c>
      <c r="B120" s="6"/>
      <c r="C120" s="6"/>
      <c r="D120" s="6">
        <v>34575.75</v>
      </c>
      <c r="E120" s="6">
        <v>29569.72</v>
      </c>
      <c r="F120" s="6">
        <v>11357.8</v>
      </c>
      <c r="G120" s="6"/>
      <c r="H120" s="6">
        <v>1734.36</v>
      </c>
      <c r="I120" s="6"/>
      <c r="J120" s="6">
        <v>16.76566057647101</v>
      </c>
      <c r="K120" s="6"/>
      <c r="L120" s="6"/>
      <c r="M120" s="6">
        <v>17.767142857142854</v>
      </c>
      <c r="N120" s="6"/>
      <c r="O120" s="6">
        <v>21.033333333333331</v>
      </c>
    </row>
    <row r="121" spans="1:15" s="3" customFormat="1" x14ac:dyDescent="0.25">
      <c r="A121" s="5">
        <v>29830</v>
      </c>
      <c r="B121" s="6"/>
      <c r="C121" s="6"/>
      <c r="D121" s="6">
        <v>35284.729999999996</v>
      </c>
      <c r="E121" s="6">
        <v>33189.200000000004</v>
      </c>
      <c r="F121" s="6">
        <v>12097.4</v>
      </c>
      <c r="G121" s="6"/>
      <c r="H121" s="6">
        <v>1280.1300000000001</v>
      </c>
      <c r="I121" s="6"/>
      <c r="J121" s="6">
        <v>6.620830494308767</v>
      </c>
      <c r="K121" s="6"/>
      <c r="L121" s="6"/>
      <c r="M121" s="6">
        <v>17.685781250000002</v>
      </c>
      <c r="N121" s="6"/>
      <c r="O121" s="6">
        <v>21.833333333333332</v>
      </c>
    </row>
    <row r="122" spans="1:15" s="3" customFormat="1" x14ac:dyDescent="0.25">
      <c r="A122" s="5">
        <v>29921</v>
      </c>
      <c r="B122" s="6"/>
      <c r="C122" s="6"/>
      <c r="D122" s="6">
        <v>37586.630000000005</v>
      </c>
      <c r="E122" s="6">
        <v>33908.9</v>
      </c>
      <c r="F122" s="6">
        <v>13741.099999999999</v>
      </c>
      <c r="G122" s="6"/>
      <c r="H122" s="6">
        <v>1405.82</v>
      </c>
      <c r="I122" s="6"/>
      <c r="J122" s="6">
        <v>-6.0187940318080262</v>
      </c>
      <c r="K122" s="6"/>
      <c r="L122" s="6"/>
      <c r="M122" s="6">
        <v>13.591967213114755</v>
      </c>
      <c r="N122" s="6"/>
      <c r="O122" s="6">
        <v>22.399999999999995</v>
      </c>
    </row>
    <row r="123" spans="1:15" s="3" customFormat="1" x14ac:dyDescent="0.25">
      <c r="A123" s="5">
        <v>30011</v>
      </c>
      <c r="B123" s="6"/>
      <c r="C123" s="6"/>
      <c r="D123" s="6">
        <v>33421.210000000006</v>
      </c>
      <c r="E123" s="6">
        <v>28139.86</v>
      </c>
      <c r="F123" s="6">
        <v>12875.1</v>
      </c>
      <c r="G123" s="6"/>
      <c r="H123" s="6">
        <v>1165.96</v>
      </c>
      <c r="I123" s="6"/>
      <c r="J123" s="6">
        <v>-17.770350551770711</v>
      </c>
      <c r="K123" s="6"/>
      <c r="L123" s="6"/>
      <c r="M123" s="6">
        <v>14.243278688524589</v>
      </c>
      <c r="N123" s="6"/>
      <c r="O123" s="6">
        <v>22.933333333333334</v>
      </c>
    </row>
    <row r="124" spans="1:15" s="3" customFormat="1" x14ac:dyDescent="0.25">
      <c r="A124" s="5">
        <v>30103</v>
      </c>
      <c r="B124" s="6"/>
      <c r="C124" s="6"/>
      <c r="D124" s="6">
        <v>35355.69</v>
      </c>
      <c r="E124" s="6">
        <v>31148.42</v>
      </c>
      <c r="F124" s="6">
        <v>12238.5</v>
      </c>
      <c r="G124" s="6"/>
      <c r="H124" s="6">
        <v>1278.56</v>
      </c>
      <c r="I124" s="6"/>
      <c r="J124" s="6">
        <v>-20.513532854955017</v>
      </c>
      <c r="K124" s="6"/>
      <c r="L124" s="6"/>
      <c r="M124" s="6">
        <v>14.54142857142857</v>
      </c>
      <c r="N124" s="6"/>
      <c r="O124" s="6">
        <v>23.533333333333331</v>
      </c>
    </row>
    <row r="125" spans="1:15" s="3" customFormat="1" x14ac:dyDescent="0.25">
      <c r="A125" s="5">
        <v>30195</v>
      </c>
      <c r="B125" s="6"/>
      <c r="C125" s="6"/>
      <c r="D125" s="6">
        <v>35784.800000000003</v>
      </c>
      <c r="E125" s="6">
        <v>33553.979999999996</v>
      </c>
      <c r="F125" s="6">
        <v>12712</v>
      </c>
      <c r="G125" s="6"/>
      <c r="H125" s="6">
        <v>927.18</v>
      </c>
      <c r="I125" s="6"/>
      <c r="J125" s="6">
        <v>-23.925645119827365</v>
      </c>
      <c r="K125" s="6"/>
      <c r="L125" s="6"/>
      <c r="M125" s="6">
        <v>10.97015625</v>
      </c>
      <c r="N125" s="6"/>
      <c r="O125" s="6">
        <v>24.033333333333331</v>
      </c>
    </row>
    <row r="126" spans="1:15" s="3" customFormat="1" x14ac:dyDescent="0.25">
      <c r="A126" s="5">
        <v>30286</v>
      </c>
      <c r="B126" s="6"/>
      <c r="C126" s="6"/>
      <c r="D126" s="6">
        <v>38462.54</v>
      </c>
      <c r="E126" s="6">
        <v>34676.53</v>
      </c>
      <c r="F126" s="6">
        <v>13645.099999999999</v>
      </c>
      <c r="G126" s="6"/>
      <c r="H126" s="6">
        <v>783.82</v>
      </c>
      <c r="I126" s="6"/>
      <c r="J126" s="6">
        <v>-26.223310873579521</v>
      </c>
      <c r="K126" s="6"/>
      <c r="L126" s="6"/>
      <c r="M126" s="6">
        <v>9.3059016393442651</v>
      </c>
      <c r="N126" s="6"/>
      <c r="O126" s="6">
        <v>24.566666666666666</v>
      </c>
    </row>
    <row r="127" spans="1:15" s="3" customFormat="1" x14ac:dyDescent="0.25">
      <c r="A127" s="5">
        <v>30376</v>
      </c>
      <c r="B127" s="6"/>
      <c r="C127" s="6"/>
      <c r="D127" s="6">
        <v>34142.65</v>
      </c>
      <c r="E127" s="6">
        <v>29781.53</v>
      </c>
      <c r="F127" s="6">
        <v>13352.099999999999</v>
      </c>
      <c r="G127" s="6"/>
      <c r="H127" s="6">
        <v>996.01</v>
      </c>
      <c r="I127" s="6"/>
      <c r="J127" s="6">
        <v>-24.875361234121289</v>
      </c>
      <c r="K127" s="6"/>
      <c r="L127" s="6"/>
      <c r="M127" s="6">
        <v>8.660952380952379</v>
      </c>
      <c r="N127" s="6"/>
      <c r="O127" s="6">
        <v>25.133333333333336</v>
      </c>
    </row>
    <row r="128" spans="1:15" s="3" customFormat="1" x14ac:dyDescent="0.25">
      <c r="A128" s="5">
        <v>30468</v>
      </c>
      <c r="B128" s="6"/>
      <c r="C128" s="6"/>
      <c r="D128" s="6">
        <v>41946.75</v>
      </c>
      <c r="E128" s="6">
        <v>37353.230000000003</v>
      </c>
      <c r="F128" s="6">
        <v>13770.400000000001</v>
      </c>
      <c r="G128" s="6"/>
      <c r="H128" s="6">
        <v>964.35</v>
      </c>
      <c r="I128" s="6"/>
      <c r="J128" s="6">
        <v>-21.714768582116132</v>
      </c>
      <c r="K128" s="6"/>
      <c r="L128" s="6"/>
      <c r="M128" s="6">
        <v>8.8241269841269805</v>
      </c>
      <c r="N128" s="6"/>
      <c r="O128" s="6">
        <v>25.766666666666669</v>
      </c>
    </row>
    <row r="129" spans="1:15" s="3" customFormat="1" x14ac:dyDescent="0.25">
      <c r="A129" s="5">
        <v>30560</v>
      </c>
      <c r="B129" s="6"/>
      <c r="C129" s="6"/>
      <c r="D129" s="6">
        <v>45796.81</v>
      </c>
      <c r="E129" s="6">
        <v>44125.740000000005</v>
      </c>
      <c r="F129" s="6">
        <v>14524.400000000001</v>
      </c>
      <c r="G129" s="6"/>
      <c r="H129" s="6">
        <v>758.33</v>
      </c>
      <c r="I129" s="6"/>
      <c r="J129" s="6">
        <v>-20.49507636512477</v>
      </c>
      <c r="K129" s="6"/>
      <c r="L129" s="6"/>
      <c r="M129" s="6">
        <v>9.4634375000000031</v>
      </c>
      <c r="N129" s="6"/>
      <c r="O129" s="6">
        <v>26.266666666666666</v>
      </c>
    </row>
    <row r="130" spans="1:15" s="3" customFormat="1" x14ac:dyDescent="0.25">
      <c r="A130" s="5">
        <v>30651</v>
      </c>
      <c r="B130" s="6"/>
      <c r="C130" s="6"/>
      <c r="D130" s="6">
        <v>53578.740000000005</v>
      </c>
      <c r="E130" s="6">
        <v>49476.17</v>
      </c>
      <c r="F130" s="6">
        <v>15730.100000000002</v>
      </c>
      <c r="G130" s="6"/>
      <c r="H130" s="6">
        <v>874.94</v>
      </c>
      <c r="I130" s="6"/>
      <c r="J130" s="6">
        <v>-21.74053820693625</v>
      </c>
      <c r="K130" s="6"/>
      <c r="L130" s="6"/>
      <c r="M130" s="6">
        <v>9.4454999999999991</v>
      </c>
      <c r="N130" s="6"/>
      <c r="O130" s="6">
        <v>27.366666666666664</v>
      </c>
    </row>
    <row r="131" spans="1:15" s="3" customFormat="1" x14ac:dyDescent="0.25">
      <c r="A131" s="5">
        <v>30742</v>
      </c>
      <c r="B131" s="6"/>
      <c r="C131" s="6"/>
      <c r="D131" s="6">
        <v>48791.08</v>
      </c>
      <c r="E131" s="6">
        <v>45837.83</v>
      </c>
      <c r="F131" s="6">
        <v>15882.2</v>
      </c>
      <c r="G131" s="6"/>
      <c r="H131" s="6">
        <v>1014.38</v>
      </c>
      <c r="I131" s="6"/>
      <c r="J131" s="6">
        <v>-14.695219487355466</v>
      </c>
      <c r="K131" s="6"/>
      <c r="L131" s="6"/>
      <c r="M131" s="6">
        <v>9.7079032258064508</v>
      </c>
      <c r="N131" s="6"/>
      <c r="O131" s="6">
        <v>27.833333333333332</v>
      </c>
    </row>
    <row r="132" spans="1:15" s="3" customFormat="1" x14ac:dyDescent="0.25">
      <c r="A132" s="5">
        <v>30834</v>
      </c>
      <c r="B132" s="6"/>
      <c r="C132" s="6"/>
      <c r="D132" s="6">
        <v>56775.850000000006</v>
      </c>
      <c r="E132" s="6">
        <v>54053.87999999999</v>
      </c>
      <c r="F132" s="6">
        <v>16260.5</v>
      </c>
      <c r="G132" s="6"/>
      <c r="H132" s="6">
        <v>901.07</v>
      </c>
      <c r="I132" s="6"/>
      <c r="J132" s="6">
        <v>-13.84724934090992</v>
      </c>
      <c r="K132" s="6"/>
      <c r="L132" s="6"/>
      <c r="M132" s="6">
        <v>10.638730158730155</v>
      </c>
      <c r="N132" s="6"/>
      <c r="O132" s="6">
        <v>28.3</v>
      </c>
    </row>
    <row r="133" spans="1:15" s="3" customFormat="1" x14ac:dyDescent="0.25">
      <c r="A133" s="5">
        <v>30926</v>
      </c>
      <c r="B133" s="6"/>
      <c r="C133" s="6"/>
      <c r="D133" s="6">
        <v>57528.55</v>
      </c>
      <c r="E133" s="6">
        <v>60603</v>
      </c>
      <c r="F133" s="6">
        <v>16614.5</v>
      </c>
      <c r="G133" s="6"/>
      <c r="H133" s="6">
        <v>1002.5</v>
      </c>
      <c r="I133" s="6"/>
      <c r="J133" s="6">
        <v>-14.215759636509478</v>
      </c>
      <c r="K133" s="6"/>
      <c r="L133" s="6"/>
      <c r="M133" s="6">
        <v>11.420317460317461</v>
      </c>
      <c r="N133" s="6"/>
      <c r="O133" s="6">
        <v>28.566666666666666</v>
      </c>
    </row>
    <row r="134" spans="1:15" s="3" customFormat="1" x14ac:dyDescent="0.25">
      <c r="A134" s="5">
        <v>31017</v>
      </c>
      <c r="B134" s="6"/>
      <c r="C134" s="6"/>
      <c r="D134" s="6">
        <v>60279.97</v>
      </c>
      <c r="E134" s="6">
        <v>60985.08</v>
      </c>
      <c r="F134" s="6">
        <v>17350.3</v>
      </c>
      <c r="G134" s="6"/>
      <c r="H134" s="6">
        <v>1200.3800000000001</v>
      </c>
      <c r="I134" s="6"/>
      <c r="J134" s="6">
        <v>-5.3161797059190521</v>
      </c>
      <c r="K134" s="6"/>
      <c r="L134" s="6"/>
      <c r="M134" s="6">
        <v>9.2711475409836037</v>
      </c>
      <c r="N134" s="6"/>
      <c r="O134" s="6">
        <v>28.733333333333334</v>
      </c>
    </row>
    <row r="135" spans="1:15" s="3" customFormat="1" x14ac:dyDescent="0.25">
      <c r="A135" s="5">
        <v>31107</v>
      </c>
      <c r="B135" s="6"/>
      <c r="C135" s="6"/>
      <c r="D135" s="6">
        <v>53999.899999999994</v>
      </c>
      <c r="E135" s="6">
        <v>54448.97</v>
      </c>
      <c r="F135" s="6">
        <v>17271.900000000001</v>
      </c>
      <c r="G135" s="6"/>
      <c r="H135" s="6">
        <v>1382.04</v>
      </c>
      <c r="I135" s="6"/>
      <c r="J135" s="6">
        <v>-3.3632665243542399</v>
      </c>
      <c r="K135" s="6"/>
      <c r="L135" s="6"/>
      <c r="M135" s="6">
        <v>8.4745000000000026</v>
      </c>
      <c r="N135" s="6"/>
      <c r="O135" s="6">
        <v>28.966666666666669</v>
      </c>
    </row>
    <row r="136" spans="1:15" s="3" customFormat="1" x14ac:dyDescent="0.25">
      <c r="A136" s="5">
        <v>31199</v>
      </c>
      <c r="B136" s="6"/>
      <c r="C136" s="6"/>
      <c r="D136" s="6">
        <v>58772.25</v>
      </c>
      <c r="E136" s="6">
        <v>58600.380000000005</v>
      </c>
      <c r="F136" s="6">
        <v>16155.9</v>
      </c>
      <c r="G136" s="6"/>
      <c r="H136" s="6">
        <v>1570.61</v>
      </c>
      <c r="I136" s="6"/>
      <c r="J136" s="6">
        <v>1.5264421500072121</v>
      </c>
      <c r="K136" s="6"/>
      <c r="L136" s="6"/>
      <c r="M136" s="6">
        <v>7.9555555555555539</v>
      </c>
      <c r="N136" s="6"/>
      <c r="O136" s="6">
        <v>29.3</v>
      </c>
    </row>
    <row r="137" spans="1:15" s="3" customFormat="1" x14ac:dyDescent="0.25">
      <c r="A137" s="5">
        <v>31291</v>
      </c>
      <c r="B137" s="6"/>
      <c r="C137" s="6"/>
      <c r="D137" s="6">
        <v>56155.180000000008</v>
      </c>
      <c r="E137" s="6">
        <v>60557.81</v>
      </c>
      <c r="F137" s="6">
        <v>16436.8</v>
      </c>
      <c r="G137" s="6"/>
      <c r="H137" s="6">
        <v>1511.8</v>
      </c>
      <c r="I137" s="6"/>
      <c r="J137" s="6">
        <v>13.652128401953934</v>
      </c>
      <c r="K137" s="6"/>
      <c r="L137" s="6"/>
      <c r="M137" s="6">
        <v>7.9244444444444442</v>
      </c>
      <c r="N137" s="6"/>
      <c r="O137" s="6">
        <v>29.5</v>
      </c>
    </row>
    <row r="138" spans="1:15" s="3" customFormat="1" x14ac:dyDescent="0.25">
      <c r="A138" s="5">
        <v>31382</v>
      </c>
      <c r="B138" s="6"/>
      <c r="C138" s="6"/>
      <c r="D138" s="6">
        <v>62478.710000000006</v>
      </c>
      <c r="E138" s="6">
        <v>61562.3</v>
      </c>
      <c r="F138" s="6">
        <v>18036.400000000001</v>
      </c>
      <c r="G138" s="6"/>
      <c r="H138" s="6">
        <v>1752.45</v>
      </c>
      <c r="I138" s="6"/>
      <c r="J138" s="6">
        <v>16.208661635778494</v>
      </c>
      <c r="K138" s="6"/>
      <c r="L138" s="6"/>
      <c r="M138" s="6">
        <v>8.1701612903225822</v>
      </c>
      <c r="N138" s="6"/>
      <c r="O138" s="6">
        <v>29.7</v>
      </c>
    </row>
    <row r="139" spans="1:15" s="3" customFormat="1" x14ac:dyDescent="0.25">
      <c r="A139" s="5">
        <v>31472</v>
      </c>
      <c r="B139" s="6"/>
      <c r="C139" s="6"/>
      <c r="D139" s="6">
        <v>55671.790000000008</v>
      </c>
      <c r="E139" s="6">
        <v>53150.89</v>
      </c>
      <c r="F139" s="6">
        <v>17392.5</v>
      </c>
      <c r="G139" s="6"/>
      <c r="H139" s="6">
        <v>1625.94</v>
      </c>
      <c r="I139" s="6"/>
      <c r="J139" s="6">
        <v>12.290725975660923</v>
      </c>
      <c r="K139" s="6"/>
      <c r="L139" s="6"/>
      <c r="M139" s="6">
        <v>7.7939344262295096</v>
      </c>
      <c r="N139" s="6"/>
      <c r="O139" s="6">
        <v>29.900000000000002</v>
      </c>
    </row>
    <row r="140" spans="1:15" s="3" customFormat="1" x14ac:dyDescent="0.25">
      <c r="A140" s="5">
        <v>31564</v>
      </c>
      <c r="B140" s="6"/>
      <c r="C140" s="6"/>
      <c r="D140" s="6">
        <v>67662.98</v>
      </c>
      <c r="E140" s="6">
        <v>65255.600000000006</v>
      </c>
      <c r="F140" s="6">
        <v>16741.399999999998</v>
      </c>
      <c r="G140" s="6"/>
      <c r="H140" s="6">
        <v>1739.11</v>
      </c>
      <c r="I140" s="6">
        <v>239.309246</v>
      </c>
      <c r="J140" s="6">
        <v>7.6764035070716607</v>
      </c>
      <c r="K140" s="6"/>
      <c r="L140" s="6"/>
      <c r="M140" s="6">
        <v>6.9595000000000011</v>
      </c>
      <c r="N140" s="6"/>
      <c r="O140" s="6">
        <v>30.3</v>
      </c>
    </row>
    <row r="141" spans="1:15" s="3" customFormat="1" x14ac:dyDescent="0.25">
      <c r="A141" s="5">
        <v>31656</v>
      </c>
      <c r="B141" s="6"/>
      <c r="C141" s="6"/>
      <c r="D141" s="6">
        <v>71105.19</v>
      </c>
      <c r="E141" s="6">
        <v>75332.539999999994</v>
      </c>
      <c r="F141" s="6">
        <v>17958.599999999999</v>
      </c>
      <c r="G141" s="6"/>
      <c r="H141" s="6">
        <v>2068.44</v>
      </c>
      <c r="I141" s="6">
        <v>775.44565399999999</v>
      </c>
      <c r="J141" s="6">
        <v>6.2426510544105964</v>
      </c>
      <c r="K141" s="6"/>
      <c r="L141" s="6"/>
      <c r="M141" s="6">
        <v>6.2262121212121198</v>
      </c>
      <c r="N141" s="6"/>
      <c r="O141" s="6">
        <v>30.599999999999998</v>
      </c>
    </row>
    <row r="142" spans="1:15" s="3" customFormat="1" x14ac:dyDescent="0.25">
      <c r="A142" s="5">
        <v>31747</v>
      </c>
      <c r="B142" s="6"/>
      <c r="C142" s="6"/>
      <c r="D142" s="6">
        <v>81519.86</v>
      </c>
      <c r="E142" s="6">
        <v>82787.319999999992</v>
      </c>
      <c r="F142" s="6">
        <v>19903.8</v>
      </c>
      <c r="G142" s="6"/>
      <c r="H142" s="6">
        <v>2568.3000000000002</v>
      </c>
      <c r="I142" s="6">
        <v>694.67291599999999</v>
      </c>
      <c r="J142" s="6">
        <v>7.5955713390432456</v>
      </c>
      <c r="K142" s="6"/>
      <c r="L142" s="6"/>
      <c r="M142" s="6">
        <v>6.3795161290322593</v>
      </c>
      <c r="N142" s="6"/>
      <c r="O142" s="6">
        <v>30.866666666666664</v>
      </c>
    </row>
    <row r="143" spans="1:15" s="3" customFormat="1" x14ac:dyDescent="0.25">
      <c r="A143" s="5">
        <v>31837</v>
      </c>
      <c r="B143" s="6"/>
      <c r="C143" s="6"/>
      <c r="D143" s="6">
        <v>78365.709999999992</v>
      </c>
      <c r="E143" s="6">
        <v>75012.399999999994</v>
      </c>
      <c r="F143" s="6">
        <v>19622.7</v>
      </c>
      <c r="G143" s="6"/>
      <c r="H143" s="6">
        <v>2713.81</v>
      </c>
      <c r="I143" s="6">
        <v>985.79147399999999</v>
      </c>
      <c r="J143" s="6">
        <v>15.31783094060739</v>
      </c>
      <c r="K143" s="6"/>
      <c r="L143" s="6"/>
      <c r="M143" s="6">
        <v>6.1506451612903197</v>
      </c>
      <c r="N143" s="6"/>
      <c r="O143" s="6">
        <v>31.266666666666669</v>
      </c>
    </row>
    <row r="144" spans="1:15" s="3" customFormat="1" x14ac:dyDescent="0.25">
      <c r="A144" s="5">
        <v>31929</v>
      </c>
      <c r="B144" s="6"/>
      <c r="C144" s="6"/>
      <c r="D144" s="6">
        <v>93789.68</v>
      </c>
      <c r="E144" s="6">
        <v>90915.4</v>
      </c>
      <c r="F144" s="6">
        <v>19555</v>
      </c>
      <c r="G144" s="6"/>
      <c r="H144" s="6">
        <v>3178.19</v>
      </c>
      <c r="I144" s="6">
        <v>1097.1070440000001</v>
      </c>
      <c r="J144" s="6">
        <v>20.553062032714475</v>
      </c>
      <c r="K144" s="6"/>
      <c r="L144" s="6"/>
      <c r="M144" s="6">
        <v>6.6510344827586216</v>
      </c>
      <c r="N144" s="6"/>
      <c r="O144" s="6">
        <v>31.966666666666665</v>
      </c>
    </row>
    <row r="145" spans="1:15" s="3" customFormat="1" x14ac:dyDescent="0.25">
      <c r="A145" s="5">
        <v>32021</v>
      </c>
      <c r="B145" s="6"/>
      <c r="C145" s="6"/>
      <c r="D145" s="6">
        <v>97997.54</v>
      </c>
      <c r="E145" s="6">
        <v>104295.94</v>
      </c>
      <c r="F145" s="6">
        <v>21360</v>
      </c>
      <c r="G145" s="6"/>
      <c r="H145" s="6">
        <v>3943.64</v>
      </c>
      <c r="I145" s="6">
        <v>3484.086832</v>
      </c>
      <c r="J145" s="6">
        <v>18.614637303827941</v>
      </c>
      <c r="K145" s="6"/>
      <c r="L145" s="6"/>
      <c r="M145" s="6">
        <v>6.8704615384615373</v>
      </c>
      <c r="N145" s="6"/>
      <c r="O145" s="6">
        <v>32.366666666666667</v>
      </c>
    </row>
    <row r="146" spans="1:15" s="3" customFormat="1" x14ac:dyDescent="0.25">
      <c r="A146" s="5">
        <v>32112</v>
      </c>
      <c r="B146" s="6"/>
      <c r="C146" s="6"/>
      <c r="D146" s="6">
        <v>107802.03</v>
      </c>
      <c r="E146" s="6">
        <v>107818.93</v>
      </c>
      <c r="F146" s="6">
        <v>23465.300000000003</v>
      </c>
      <c r="G146" s="6"/>
      <c r="H146" s="6">
        <v>2302.75</v>
      </c>
      <c r="I146" s="6">
        <v>508.92758600000002</v>
      </c>
      <c r="J146" s="6">
        <v>12.603802053574887</v>
      </c>
      <c r="K146" s="6"/>
      <c r="L146" s="6"/>
      <c r="M146" s="6">
        <v>6.9251612903225803</v>
      </c>
      <c r="N146" s="6"/>
      <c r="O146" s="6">
        <v>32.966666666666661</v>
      </c>
    </row>
    <row r="147" spans="1:15" s="3" customFormat="1" x14ac:dyDescent="0.25">
      <c r="A147" s="5">
        <v>32203</v>
      </c>
      <c r="B147" s="6"/>
      <c r="C147" s="6"/>
      <c r="D147" s="6">
        <v>98866.6</v>
      </c>
      <c r="E147" s="6">
        <v>97037.41</v>
      </c>
      <c r="F147" s="6">
        <v>24377</v>
      </c>
      <c r="G147" s="6"/>
      <c r="H147" s="6">
        <v>2543.9699999999998</v>
      </c>
      <c r="I147" s="6">
        <v>668.12421300000005</v>
      </c>
      <c r="J147" s="6">
        <v>7.5852557022933489</v>
      </c>
      <c r="K147" s="6"/>
      <c r="L147" s="6"/>
      <c r="M147" s="6">
        <v>6.663968253968255</v>
      </c>
      <c r="N147" s="6"/>
      <c r="O147" s="6">
        <v>33.43333333333333</v>
      </c>
    </row>
    <row r="148" spans="1:15" s="3" customFormat="1" x14ac:dyDescent="0.25">
      <c r="A148" s="5">
        <v>32295</v>
      </c>
      <c r="B148" s="6"/>
      <c r="C148" s="6"/>
      <c r="D148" s="6">
        <v>122824.48</v>
      </c>
      <c r="E148" s="6">
        <v>115910.07999999999</v>
      </c>
      <c r="F148" s="6">
        <v>24331.200000000001</v>
      </c>
      <c r="G148" s="6"/>
      <c r="H148" s="6">
        <v>2671.49</v>
      </c>
      <c r="I148" s="6">
        <v>929.56746799999996</v>
      </c>
      <c r="J148" s="6">
        <v>9.3476318586008933</v>
      </c>
      <c r="K148" s="6"/>
      <c r="L148" s="6"/>
      <c r="M148" s="6">
        <v>7.1750847457627103</v>
      </c>
      <c r="N148" s="6"/>
      <c r="O148" s="6">
        <v>34.366666666666667</v>
      </c>
    </row>
    <row r="149" spans="1:15" s="3" customFormat="1" x14ac:dyDescent="0.25">
      <c r="A149" s="5">
        <v>32387</v>
      </c>
      <c r="B149" s="6"/>
      <c r="C149" s="6"/>
      <c r="D149" s="6">
        <v>132919.53999999998</v>
      </c>
      <c r="E149" s="6">
        <v>136389.48000000001</v>
      </c>
      <c r="F149" s="6">
        <v>25756</v>
      </c>
      <c r="G149" s="6"/>
      <c r="H149" s="6">
        <v>2441.0500000000002</v>
      </c>
      <c r="I149" s="6">
        <v>368.72340000000003</v>
      </c>
      <c r="J149" s="6">
        <v>12.288813800462387</v>
      </c>
      <c r="K149" s="6"/>
      <c r="L149" s="6"/>
      <c r="M149" s="6">
        <v>7.9863636363636337</v>
      </c>
      <c r="N149" s="6"/>
      <c r="O149" s="6">
        <v>35.1</v>
      </c>
    </row>
    <row r="150" spans="1:15" s="3" customFormat="1" x14ac:dyDescent="0.25">
      <c r="A150" s="5">
        <v>32478</v>
      </c>
      <c r="B150" s="6"/>
      <c r="C150" s="6"/>
      <c r="D150" s="6">
        <v>144200.06</v>
      </c>
      <c r="E150" s="6">
        <v>143748</v>
      </c>
      <c r="F150" s="6">
        <v>27431</v>
      </c>
      <c r="G150" s="6"/>
      <c r="H150" s="6">
        <v>2687.44</v>
      </c>
      <c r="I150" s="6">
        <v>814.61404500000003</v>
      </c>
      <c r="J150" s="6">
        <v>19.292632221959494</v>
      </c>
      <c r="K150" s="6"/>
      <c r="L150" s="6"/>
      <c r="M150" s="6">
        <v>8.4795161290322572</v>
      </c>
      <c r="N150" s="6"/>
      <c r="O150" s="6">
        <v>35.733333333333327</v>
      </c>
    </row>
    <row r="151" spans="1:15" s="3" customFormat="1" x14ac:dyDescent="0.25">
      <c r="A151" s="5">
        <v>32568</v>
      </c>
      <c r="B151" s="6"/>
      <c r="C151" s="6"/>
      <c r="D151" s="6">
        <v>130030.78</v>
      </c>
      <c r="E151" s="6">
        <v>123048.62000000001</v>
      </c>
      <c r="F151" s="6">
        <v>28232</v>
      </c>
      <c r="G151" s="6"/>
      <c r="H151" s="6">
        <v>3004.98</v>
      </c>
      <c r="I151" s="6">
        <v>1101.820888</v>
      </c>
      <c r="J151" s="6">
        <v>26.600800038556084</v>
      </c>
      <c r="K151" s="6"/>
      <c r="L151" s="6"/>
      <c r="M151" s="6">
        <v>9.4546031746031716</v>
      </c>
      <c r="N151" s="6"/>
      <c r="O151" s="6">
        <v>36.766666666666666</v>
      </c>
    </row>
    <row r="152" spans="1:15" s="3" customFormat="1" x14ac:dyDescent="0.25">
      <c r="A152" s="5">
        <v>32660</v>
      </c>
      <c r="B152" s="6"/>
      <c r="C152" s="6"/>
      <c r="D152" s="6">
        <v>146592.47999999998</v>
      </c>
      <c r="E152" s="6">
        <v>140104.09</v>
      </c>
      <c r="F152" s="6">
        <v>25310</v>
      </c>
      <c r="G152" s="6"/>
      <c r="H152" s="6">
        <v>2273.91</v>
      </c>
      <c r="I152" s="6">
        <v>636.47931700000004</v>
      </c>
      <c r="J152" s="6">
        <v>20.012608876740263</v>
      </c>
      <c r="K152" s="6"/>
      <c r="L152" s="6"/>
      <c r="M152" s="6">
        <v>9.7231147540983613</v>
      </c>
      <c r="N152" s="6"/>
      <c r="O152" s="6">
        <v>37.93333333333333</v>
      </c>
    </row>
    <row r="153" spans="1:15" s="3" customFormat="1" x14ac:dyDescent="0.25">
      <c r="A153" s="5">
        <v>32752</v>
      </c>
      <c r="B153" s="6"/>
      <c r="C153" s="6"/>
      <c r="D153" s="6">
        <v>143600.20000000001</v>
      </c>
      <c r="E153" s="6">
        <v>155566.53</v>
      </c>
      <c r="F153" s="6">
        <v>26141</v>
      </c>
      <c r="G153" s="6"/>
      <c r="H153" s="6">
        <v>2758.25</v>
      </c>
      <c r="I153" s="6">
        <v>1076.507349</v>
      </c>
      <c r="J153" s="6">
        <v>7.7377517237189917</v>
      </c>
      <c r="K153" s="6"/>
      <c r="L153" s="6"/>
      <c r="M153" s="6">
        <v>9.0844615384615395</v>
      </c>
      <c r="N153" s="6"/>
      <c r="O153" s="6">
        <v>38.699999999999996</v>
      </c>
    </row>
    <row r="154" spans="1:15" s="3" customFormat="1" x14ac:dyDescent="0.25">
      <c r="A154" s="5">
        <v>32843</v>
      </c>
      <c r="B154" s="6"/>
      <c r="C154" s="6"/>
      <c r="D154" s="6">
        <v>142567.71</v>
      </c>
      <c r="E154" s="6">
        <v>151793.61000000002</v>
      </c>
      <c r="F154" s="6">
        <v>27839</v>
      </c>
      <c r="G154" s="6"/>
      <c r="H154" s="6">
        <v>2836.57</v>
      </c>
      <c r="I154" s="6">
        <v>939.87357899999995</v>
      </c>
      <c r="J154" s="6">
        <v>6.3659770931368236</v>
      </c>
      <c r="K154" s="6"/>
      <c r="L154" s="6"/>
      <c r="M154" s="6">
        <v>8.6575806451612909</v>
      </c>
      <c r="N154" s="6"/>
      <c r="O154" s="6">
        <v>39.4</v>
      </c>
    </row>
    <row r="155" spans="1:15" s="3" customFormat="1" x14ac:dyDescent="0.25">
      <c r="A155" s="5">
        <v>32933</v>
      </c>
      <c r="B155" s="6"/>
      <c r="C155" s="6"/>
      <c r="D155" s="6">
        <v>132680.90000000002</v>
      </c>
      <c r="E155" s="6">
        <v>129608.85</v>
      </c>
      <c r="F155" s="6">
        <v>28613</v>
      </c>
      <c r="G155" s="6">
        <v>3003.53</v>
      </c>
      <c r="H155" s="6">
        <v>2997.98</v>
      </c>
      <c r="I155" s="6">
        <v>1436.497132</v>
      </c>
      <c r="J155" s="6">
        <v>-1.0584961398486408</v>
      </c>
      <c r="K155" s="6"/>
      <c r="L155" s="6"/>
      <c r="M155" s="6">
        <v>8.2629032258064505</v>
      </c>
      <c r="N155" s="6"/>
      <c r="O155" s="6">
        <v>40.366666666666667</v>
      </c>
    </row>
    <row r="156" spans="1:15" s="3" customFormat="1" x14ac:dyDescent="0.25">
      <c r="A156" s="5">
        <v>33025</v>
      </c>
      <c r="B156" s="6">
        <v>2.0528129891981499</v>
      </c>
      <c r="C156" s="6"/>
      <c r="D156" s="6">
        <v>159151.44999999998</v>
      </c>
      <c r="E156" s="6">
        <v>154025.71999999997</v>
      </c>
      <c r="F156" s="6">
        <v>27481</v>
      </c>
      <c r="G156" s="6">
        <v>3365.83</v>
      </c>
      <c r="H156" s="6">
        <v>3278.24</v>
      </c>
      <c r="I156" s="6">
        <v>1721.7440280000001</v>
      </c>
      <c r="J156" s="6">
        <v>-2.5670250311490737</v>
      </c>
      <c r="K156" s="6"/>
      <c r="L156" s="6"/>
      <c r="M156" s="6">
        <v>8.2367187500000014</v>
      </c>
      <c r="N156" s="6"/>
      <c r="O156" s="6">
        <v>41.699999999999996</v>
      </c>
    </row>
    <row r="157" spans="1:15" s="3" customFormat="1" x14ac:dyDescent="0.25">
      <c r="A157" s="5">
        <v>33117</v>
      </c>
      <c r="B157" s="6">
        <v>1.0960228735208386</v>
      </c>
      <c r="C157" s="6"/>
      <c r="D157" s="6">
        <v>164037.22</v>
      </c>
      <c r="E157" s="6">
        <v>170659.5</v>
      </c>
      <c r="F157" s="6">
        <v>28763</v>
      </c>
      <c r="G157" s="6">
        <v>2867.57</v>
      </c>
      <c r="H157" s="6">
        <v>2760.82</v>
      </c>
      <c r="I157" s="6">
        <v>609.42727100000002</v>
      </c>
      <c r="J157" s="6">
        <v>4.8996449766103334</v>
      </c>
      <c r="K157" s="6"/>
      <c r="L157" s="6"/>
      <c r="M157" s="6">
        <v>8.3526984126984107</v>
      </c>
      <c r="N157" s="6"/>
      <c r="O157" s="6">
        <v>42.633333333333333</v>
      </c>
    </row>
    <row r="158" spans="1:15" s="3" customFormat="1" x14ac:dyDescent="0.25">
      <c r="A158" s="5">
        <v>33208</v>
      </c>
      <c r="B158" s="6">
        <v>0.96681518691186852</v>
      </c>
      <c r="C158" s="6"/>
      <c r="D158" s="6">
        <v>186662.03999999998</v>
      </c>
      <c r="E158" s="6">
        <v>185580.05000000002</v>
      </c>
      <c r="F158" s="6">
        <v>30508</v>
      </c>
      <c r="G158" s="6">
        <v>3188.37</v>
      </c>
      <c r="H158" s="6">
        <v>3024.55</v>
      </c>
      <c r="I158" s="6">
        <v>279.21820300000002</v>
      </c>
      <c r="J158" s="6">
        <v>2.6175408626781032</v>
      </c>
      <c r="K158" s="6"/>
      <c r="L158" s="6"/>
      <c r="M158" s="6">
        <v>7.8314516129032254</v>
      </c>
      <c r="N158" s="6"/>
      <c r="O158" s="6">
        <v>43.866666666666674</v>
      </c>
    </row>
    <row r="159" spans="1:15" s="3" customFormat="1" x14ac:dyDescent="0.25">
      <c r="A159" s="5">
        <v>33298</v>
      </c>
      <c r="B159" s="6">
        <v>1.6258029340103251</v>
      </c>
      <c r="C159" s="6">
        <v>5.8623908900000004</v>
      </c>
      <c r="D159" s="6">
        <v>162674.88999999998</v>
      </c>
      <c r="E159" s="6">
        <v>152849.37</v>
      </c>
      <c r="F159" s="6">
        <v>31215</v>
      </c>
      <c r="G159" s="6">
        <v>3968.36</v>
      </c>
      <c r="H159" s="6">
        <v>3745.97</v>
      </c>
      <c r="I159" s="6">
        <v>1282.234287</v>
      </c>
      <c r="J159" s="6">
        <v>3.64827714901877</v>
      </c>
      <c r="K159" s="6"/>
      <c r="L159" s="6"/>
      <c r="M159" s="6">
        <v>6.5557377049180365</v>
      </c>
      <c r="N159" s="6"/>
      <c r="O159" s="6">
        <v>45.133333333333333</v>
      </c>
    </row>
    <row r="160" spans="1:15" s="3" customFormat="1" x14ac:dyDescent="0.25">
      <c r="A160" s="5">
        <v>33390</v>
      </c>
      <c r="B160" s="6">
        <v>1.2899613045140261</v>
      </c>
      <c r="C160" s="6">
        <v>5.0710623500000001</v>
      </c>
      <c r="D160" s="6">
        <v>196546.24</v>
      </c>
      <c r="E160" s="6">
        <v>185188.49</v>
      </c>
      <c r="F160" s="6">
        <v>31382</v>
      </c>
      <c r="G160" s="6">
        <v>3976.16</v>
      </c>
      <c r="H160" s="6">
        <v>3668.64</v>
      </c>
      <c r="I160" s="6">
        <v>1095.637663</v>
      </c>
      <c r="J160" s="6">
        <v>14.589687543185917</v>
      </c>
      <c r="K160" s="6"/>
      <c r="L160" s="6"/>
      <c r="M160" s="6">
        <v>5.895624999999999</v>
      </c>
      <c r="N160" s="6"/>
      <c r="O160" s="6">
        <v>46.633333333333333</v>
      </c>
    </row>
    <row r="161" spans="1:15" s="3" customFormat="1" x14ac:dyDescent="0.25">
      <c r="A161" s="5">
        <v>33482</v>
      </c>
      <c r="B161" s="6">
        <v>1.358280945334406</v>
      </c>
      <c r="C161" s="6">
        <v>5.3436322699999996</v>
      </c>
      <c r="D161" s="6">
        <v>202790.03999999998</v>
      </c>
      <c r="E161" s="6">
        <v>207911.45999999996</v>
      </c>
      <c r="F161" s="6">
        <v>35905</v>
      </c>
      <c r="G161" s="6">
        <v>4316.8500000000004</v>
      </c>
      <c r="H161" s="6">
        <v>3956.69</v>
      </c>
      <c r="I161" s="6">
        <v>1123.601179</v>
      </c>
      <c r="J161" s="6">
        <v>30.1425560260924</v>
      </c>
      <c r="K161" s="6"/>
      <c r="L161" s="6"/>
      <c r="M161" s="6">
        <v>5.6921874999999993</v>
      </c>
      <c r="N161" s="6"/>
      <c r="O161" s="6">
        <v>47.366666666666674</v>
      </c>
    </row>
    <row r="162" spans="1:15" s="3" customFormat="1" x14ac:dyDescent="0.25">
      <c r="A162" s="5">
        <v>33573</v>
      </c>
      <c r="B162" s="6">
        <v>2.0948735367892977</v>
      </c>
      <c r="C162" s="6">
        <v>6.5205908900000003</v>
      </c>
      <c r="D162" s="6">
        <v>216970.72999999998</v>
      </c>
      <c r="E162" s="6">
        <v>219936.82</v>
      </c>
      <c r="F162" s="6">
        <v>36887</v>
      </c>
      <c r="G162" s="6">
        <v>4745.3</v>
      </c>
      <c r="H162" s="6">
        <v>4297.33</v>
      </c>
      <c r="I162" s="6">
        <v>910.69687599999997</v>
      </c>
      <c r="J162" s="6">
        <v>40.552263991040896</v>
      </c>
      <c r="K162" s="6"/>
      <c r="L162" s="6"/>
      <c r="M162" s="6">
        <v>4.8943548387096785</v>
      </c>
      <c r="N162" s="6"/>
      <c r="O162" s="6">
        <v>48.300000000000004</v>
      </c>
    </row>
    <row r="163" spans="1:15" s="3" customFormat="1" x14ac:dyDescent="0.25">
      <c r="A163" s="5">
        <v>33664</v>
      </c>
      <c r="B163" s="6">
        <v>1.0780895102210564</v>
      </c>
      <c r="C163" s="6">
        <v>5.9464969500000002</v>
      </c>
      <c r="D163" s="6">
        <v>197956.16999999998</v>
      </c>
      <c r="E163" s="6">
        <v>188318.03000000003</v>
      </c>
      <c r="F163" s="6">
        <v>37592</v>
      </c>
      <c r="G163" s="6">
        <v>5466.86</v>
      </c>
      <c r="H163" s="6">
        <v>4938.3</v>
      </c>
      <c r="I163" s="6">
        <v>1945.0690509999999</v>
      </c>
      <c r="J163" s="6">
        <v>45.933986795874318</v>
      </c>
      <c r="K163" s="6"/>
      <c r="L163" s="6"/>
      <c r="M163" s="6">
        <v>4.148870967741936</v>
      </c>
      <c r="N163" s="6"/>
      <c r="O163" s="6">
        <v>49.633333333333333</v>
      </c>
    </row>
    <row r="164" spans="1:15" s="3" customFormat="1" x14ac:dyDescent="0.25">
      <c r="A164" s="5">
        <v>33756</v>
      </c>
      <c r="B164" s="6">
        <v>1.7435751360931764</v>
      </c>
      <c r="C164" s="6">
        <v>6.4209644700000004</v>
      </c>
      <c r="D164" s="6">
        <v>244690.31</v>
      </c>
      <c r="E164" s="6">
        <v>227855.18</v>
      </c>
      <c r="F164" s="6">
        <v>37477</v>
      </c>
      <c r="G164" s="6">
        <v>6895.18</v>
      </c>
      <c r="H164" s="6">
        <v>6103.92</v>
      </c>
      <c r="I164" s="6">
        <v>3456.7430789999999</v>
      </c>
      <c r="J164" s="6">
        <v>41.821634585985954</v>
      </c>
      <c r="K164" s="6"/>
      <c r="L164" s="6"/>
      <c r="M164" s="6">
        <v>3.8350000000000004</v>
      </c>
      <c r="N164" s="6"/>
      <c r="O164" s="6">
        <v>50.966666666666661</v>
      </c>
    </row>
    <row r="165" spans="1:15" s="3" customFormat="1" x14ac:dyDescent="0.25">
      <c r="A165" s="5">
        <v>33848</v>
      </c>
      <c r="B165" s="6">
        <v>1.8418572241802476</v>
      </c>
      <c r="C165" s="6">
        <v>6.92869461</v>
      </c>
      <c r="D165" s="6">
        <v>247289.07</v>
      </c>
      <c r="E165" s="6">
        <v>249427.95999999996</v>
      </c>
      <c r="F165" s="6">
        <v>41995</v>
      </c>
      <c r="G165" s="6">
        <v>6256.45</v>
      </c>
      <c r="H165" s="6">
        <v>5505.44</v>
      </c>
      <c r="I165" s="6">
        <v>2040.0250040000001</v>
      </c>
      <c r="J165" s="6">
        <v>23.670818484340717</v>
      </c>
      <c r="K165" s="6"/>
      <c r="L165" s="6"/>
      <c r="M165" s="6">
        <v>3.3639999999999994</v>
      </c>
      <c r="N165" s="6"/>
      <c r="O165" s="6">
        <v>51.866666666666667</v>
      </c>
    </row>
    <row r="166" spans="1:15" s="3" customFormat="1" x14ac:dyDescent="0.25">
      <c r="A166" s="5">
        <v>33939</v>
      </c>
      <c r="B166" s="6">
        <v>0.8747976419560769</v>
      </c>
      <c r="C166" s="6">
        <v>5.6508525499999998</v>
      </c>
      <c r="D166" s="6">
        <v>265359.90999999997</v>
      </c>
      <c r="E166" s="6">
        <v>259351.08000000002</v>
      </c>
      <c r="F166" s="6">
        <v>42433</v>
      </c>
      <c r="G166" s="6">
        <v>6324.49</v>
      </c>
      <c r="H166" s="6">
        <v>5512.39</v>
      </c>
      <c r="I166" s="6">
        <v>1144.2774959999999</v>
      </c>
      <c r="J166" s="6">
        <v>6.8284627176837409</v>
      </c>
      <c r="K166" s="6"/>
      <c r="L166" s="6"/>
      <c r="M166" s="6">
        <v>3.161290322580645</v>
      </c>
      <c r="N166" s="6"/>
      <c r="O166" s="6">
        <v>52.933333333333337</v>
      </c>
    </row>
    <row r="167" spans="1:15" s="3" customFormat="1" x14ac:dyDescent="0.25">
      <c r="A167" s="5">
        <v>34029</v>
      </c>
      <c r="B167" s="6">
        <v>1.3592568144519068</v>
      </c>
      <c r="C167" s="6">
        <v>5.9447398400000004</v>
      </c>
      <c r="D167" s="6">
        <v>233053.95</v>
      </c>
      <c r="E167" s="6">
        <v>222907.3</v>
      </c>
      <c r="F167" s="6">
        <v>41745</v>
      </c>
      <c r="G167" s="6">
        <v>7364.54</v>
      </c>
      <c r="H167" s="6">
        <v>6388.86</v>
      </c>
      <c r="I167" s="6">
        <v>3191.8026530000002</v>
      </c>
      <c r="J167" s="6">
        <v>-2.0381558028616933</v>
      </c>
      <c r="K167" s="6"/>
      <c r="L167" s="6"/>
      <c r="M167" s="6">
        <v>3.1840983606557383</v>
      </c>
      <c r="N167" s="6"/>
      <c r="O167" s="6">
        <v>54.166666666666664</v>
      </c>
    </row>
    <row r="168" spans="1:15" s="3" customFormat="1" x14ac:dyDescent="0.25">
      <c r="A168" s="5">
        <v>34121</v>
      </c>
      <c r="B168" s="6">
        <v>1.7030976002485487</v>
      </c>
      <c r="C168" s="6">
        <v>5.9025909199999997</v>
      </c>
      <c r="D168" s="6">
        <v>273672.31999999995</v>
      </c>
      <c r="E168" s="6">
        <v>256064.02000000002</v>
      </c>
      <c r="F168" s="6">
        <v>42876</v>
      </c>
      <c r="G168" s="6">
        <v>8319.18</v>
      </c>
      <c r="H168" s="6">
        <v>7099.28</v>
      </c>
      <c r="I168" s="6">
        <v>4222.8895990000001</v>
      </c>
      <c r="J168" s="6">
        <v>-3.515590379165876</v>
      </c>
      <c r="K168" s="6"/>
      <c r="L168" s="6"/>
      <c r="M168" s="6">
        <v>3.0748437499999994</v>
      </c>
      <c r="N168" s="6"/>
      <c r="O168" s="6">
        <v>55.4</v>
      </c>
    </row>
    <row r="169" spans="1:15" s="3" customFormat="1" x14ac:dyDescent="0.25">
      <c r="A169" s="5">
        <v>34213</v>
      </c>
      <c r="B169" s="6">
        <v>2.2520590757951382</v>
      </c>
      <c r="C169" s="6">
        <v>6.3291487200000001</v>
      </c>
      <c r="D169" s="6">
        <v>283779.19</v>
      </c>
      <c r="E169" s="6">
        <v>285056.70999999996</v>
      </c>
      <c r="F169" s="6">
        <v>47106</v>
      </c>
      <c r="G169" s="6">
        <v>9051.91</v>
      </c>
      <c r="H169" s="6">
        <v>7676.22</v>
      </c>
      <c r="I169" s="6">
        <v>4219.6567960000002</v>
      </c>
      <c r="J169" s="6">
        <v>1.7410356997598999</v>
      </c>
      <c r="K169" s="6"/>
      <c r="L169" s="6"/>
      <c r="M169" s="6">
        <v>3.2089062500000001</v>
      </c>
      <c r="N169" s="6"/>
      <c r="O169" s="6">
        <v>56.266666666666673</v>
      </c>
    </row>
    <row r="170" spans="1:15" s="3" customFormat="1" x14ac:dyDescent="0.25">
      <c r="A170" s="5">
        <v>34304</v>
      </c>
      <c r="B170" s="6">
        <v>1.1413026304828058</v>
      </c>
      <c r="C170" s="6">
        <v>6.61006377</v>
      </c>
      <c r="D170" s="6">
        <v>282093.25</v>
      </c>
      <c r="E170" s="6">
        <v>282213.76000000001</v>
      </c>
      <c r="F170" s="6">
        <v>48056</v>
      </c>
      <c r="G170" s="6">
        <v>14133.82</v>
      </c>
      <c r="H170" s="6">
        <v>11888.39</v>
      </c>
      <c r="I170" s="6">
        <v>7364.7001410000003</v>
      </c>
      <c r="J170" s="6">
        <v>5.0628174891146625</v>
      </c>
      <c r="K170" s="6"/>
      <c r="L170" s="6"/>
      <c r="M170" s="6">
        <v>3.1150000000000002</v>
      </c>
      <c r="N170" s="6"/>
      <c r="O170" s="6">
        <v>57.633333333333333</v>
      </c>
    </row>
    <row r="171" spans="1:15" s="3" customFormat="1" x14ac:dyDescent="0.25">
      <c r="A171" s="5">
        <v>34394</v>
      </c>
      <c r="B171" s="6">
        <v>2.193794662637325</v>
      </c>
      <c r="C171" s="6">
        <v>7.4878339499999997</v>
      </c>
      <c r="D171" s="6">
        <v>255919.88</v>
      </c>
      <c r="E171" s="6">
        <v>242000.72999999998</v>
      </c>
      <c r="F171" s="6">
        <v>49200</v>
      </c>
      <c r="G171" s="6">
        <v>10787.97</v>
      </c>
      <c r="H171" s="6">
        <v>9029.91</v>
      </c>
      <c r="I171" s="6">
        <v>4682.6939130000001</v>
      </c>
      <c r="J171" s="6">
        <v>22.840338862020847</v>
      </c>
      <c r="K171" s="6"/>
      <c r="L171" s="6"/>
      <c r="M171" s="6">
        <v>3.2935483870967746</v>
      </c>
      <c r="N171" s="6"/>
      <c r="O171" s="6">
        <v>58.5</v>
      </c>
    </row>
    <row r="172" spans="1:15" s="3" customFormat="1" x14ac:dyDescent="0.25">
      <c r="A172" s="5">
        <v>34486</v>
      </c>
      <c r="B172" s="6">
        <v>0.77319014585556745</v>
      </c>
      <c r="C172" s="6">
        <v>6.5050346000000001</v>
      </c>
      <c r="D172" s="6">
        <v>316954.81000000006</v>
      </c>
      <c r="E172" s="6">
        <v>285046.14</v>
      </c>
      <c r="F172" s="6">
        <v>47480</v>
      </c>
      <c r="G172" s="6">
        <v>10598.66</v>
      </c>
      <c r="H172" s="6">
        <v>8758.41</v>
      </c>
      <c r="I172" s="6">
        <v>3351.6136929999998</v>
      </c>
      <c r="J172" s="6">
        <v>18.171515110137353</v>
      </c>
      <c r="K172" s="6"/>
      <c r="L172" s="6"/>
      <c r="M172" s="6">
        <v>3.9556250000000004</v>
      </c>
      <c r="N172" s="6"/>
      <c r="O172" s="6">
        <v>60.133333333333333</v>
      </c>
    </row>
    <row r="173" spans="1:15" s="3" customFormat="1" x14ac:dyDescent="0.25">
      <c r="A173" s="5">
        <v>34578</v>
      </c>
      <c r="B173" s="6">
        <v>0.83289666013955155</v>
      </c>
      <c r="C173" s="6">
        <v>5.0268448899999996</v>
      </c>
      <c r="D173" s="6">
        <v>332557.08999999997</v>
      </c>
      <c r="E173" s="6">
        <v>320937.42000000004</v>
      </c>
      <c r="F173" s="6">
        <v>51345</v>
      </c>
      <c r="G173" s="6">
        <v>11583.73</v>
      </c>
      <c r="H173" s="6">
        <v>9521.24</v>
      </c>
      <c r="I173" s="6">
        <v>4321.2762570000004</v>
      </c>
      <c r="J173" s="6">
        <v>8.3433176319979001</v>
      </c>
      <c r="K173" s="6"/>
      <c r="L173" s="6"/>
      <c r="M173" s="6">
        <v>4.518749999999998</v>
      </c>
      <c r="N173" s="6"/>
      <c r="O173" s="6">
        <v>61.5</v>
      </c>
    </row>
    <row r="174" spans="1:15" s="3" customFormat="1" x14ac:dyDescent="0.25">
      <c r="A174" s="5">
        <v>34669</v>
      </c>
      <c r="B174" s="6">
        <v>1.3082246109242088</v>
      </c>
      <c r="C174" s="6">
        <v>5.2001795</v>
      </c>
      <c r="D174" s="6">
        <v>344858.9</v>
      </c>
      <c r="E174" s="6">
        <v>322067.7</v>
      </c>
      <c r="F174" s="6">
        <v>53126</v>
      </c>
      <c r="G174" s="6">
        <v>10061.59</v>
      </c>
      <c r="H174" s="6">
        <v>8191.04</v>
      </c>
      <c r="I174" s="6">
        <v>1329.941343</v>
      </c>
      <c r="J174" s="6">
        <v>6.3558188923784664</v>
      </c>
      <c r="K174" s="6"/>
      <c r="L174" s="6"/>
      <c r="M174" s="6">
        <v>5.2083606557377058</v>
      </c>
      <c r="N174" s="6"/>
      <c r="O174" s="6">
        <v>63.033333333333331</v>
      </c>
    </row>
    <row r="175" spans="1:15" s="3" customFormat="1" x14ac:dyDescent="0.25">
      <c r="A175" s="5">
        <v>34759</v>
      </c>
      <c r="B175" s="6">
        <v>0.67819856206785767</v>
      </c>
      <c r="C175" s="6">
        <v>3.6399968899999999</v>
      </c>
      <c r="D175" s="6">
        <v>326264</v>
      </c>
      <c r="E175" s="6">
        <v>290655.3</v>
      </c>
      <c r="F175" s="6">
        <v>52569</v>
      </c>
      <c r="G175" s="6">
        <v>10605.38</v>
      </c>
      <c r="H175" s="6">
        <v>8587.7199999999993</v>
      </c>
      <c r="I175" s="6">
        <v>3117.5449779999999</v>
      </c>
      <c r="J175" s="6">
        <v>-9.7792414920725861</v>
      </c>
      <c r="K175" s="6"/>
      <c r="L175" s="6"/>
      <c r="M175" s="6">
        <v>5.8709677419354867</v>
      </c>
      <c r="N175" s="6"/>
      <c r="O175" s="6">
        <v>64.266666666666666</v>
      </c>
    </row>
    <row r="176" spans="1:15" s="3" customFormat="1" x14ac:dyDescent="0.25">
      <c r="A176" s="5">
        <v>34851</v>
      </c>
      <c r="B176" s="6">
        <v>-0.20273259945562541</v>
      </c>
      <c r="C176" s="6">
        <v>2.6363109800000002</v>
      </c>
      <c r="D176" s="6">
        <v>385112.2</v>
      </c>
      <c r="E176" s="6">
        <v>332569.59999999998</v>
      </c>
      <c r="F176" s="6">
        <v>49457</v>
      </c>
      <c r="G176" s="6">
        <v>11560.38</v>
      </c>
      <c r="H176" s="6">
        <v>9206.5400000000009</v>
      </c>
      <c r="I176" s="6">
        <v>2203.3383760000002</v>
      </c>
      <c r="J176" s="6">
        <v>-13.690738803242105</v>
      </c>
      <c r="K176" s="6"/>
      <c r="L176" s="6"/>
      <c r="M176" s="6">
        <v>6.1254687499999996</v>
      </c>
      <c r="N176" s="6"/>
      <c r="O176" s="6">
        <v>65.833333333333329</v>
      </c>
    </row>
    <row r="177" spans="1:15" s="3" customFormat="1" x14ac:dyDescent="0.25">
      <c r="A177" s="5">
        <v>34943</v>
      </c>
      <c r="B177" s="6">
        <v>-0.16955574245799396</v>
      </c>
      <c r="C177" s="6">
        <v>1.61592954</v>
      </c>
      <c r="D177" s="6">
        <v>395993.8</v>
      </c>
      <c r="E177" s="6">
        <v>370037.8</v>
      </c>
      <c r="F177" s="6">
        <v>53206</v>
      </c>
      <c r="G177" s="6">
        <v>12177.33</v>
      </c>
      <c r="H177" s="6">
        <v>9646.34</v>
      </c>
      <c r="I177" s="6">
        <v>3024.596008</v>
      </c>
      <c r="J177" s="6">
        <v>-17.393350826412746</v>
      </c>
      <c r="K177" s="6"/>
      <c r="L177" s="6"/>
      <c r="M177" s="6">
        <v>5.8115873015873021</v>
      </c>
      <c r="N177" s="6"/>
      <c r="O177" s="6">
        <v>67</v>
      </c>
    </row>
    <row r="178" spans="1:15" s="3" customFormat="1" x14ac:dyDescent="0.25">
      <c r="A178" s="5">
        <v>35034</v>
      </c>
      <c r="B178" s="6">
        <v>1.3267190284185424</v>
      </c>
      <c r="C178" s="6">
        <v>1.63448013</v>
      </c>
      <c r="D178" s="6">
        <v>383896.2</v>
      </c>
      <c r="E178" s="6">
        <v>350881</v>
      </c>
      <c r="F178" s="6">
        <v>55327</v>
      </c>
      <c r="G178" s="6">
        <v>12853.55</v>
      </c>
      <c r="H178" s="6">
        <v>10073.39</v>
      </c>
      <c r="I178" s="6">
        <v>2592.0003019999999</v>
      </c>
      <c r="J178" s="6">
        <v>-16.611625691300752</v>
      </c>
      <c r="K178" s="6"/>
      <c r="L178" s="6"/>
      <c r="M178" s="6">
        <v>5.75209677419355</v>
      </c>
      <c r="N178" s="6"/>
      <c r="O178" s="6">
        <v>68.033333333333331</v>
      </c>
    </row>
    <row r="179" spans="1:15" s="3" customFormat="1" x14ac:dyDescent="0.25">
      <c r="A179" s="5">
        <v>35125</v>
      </c>
      <c r="B179" s="6">
        <v>1.5601133758537058</v>
      </c>
      <c r="C179" s="6">
        <v>2.5247717199999999</v>
      </c>
      <c r="D179" s="6">
        <v>347060.80000000005</v>
      </c>
      <c r="E179" s="6">
        <v>307286.59999999998</v>
      </c>
      <c r="F179" s="6">
        <v>55397</v>
      </c>
      <c r="G179" s="6">
        <v>14044.89</v>
      </c>
      <c r="H179" s="6">
        <v>10957.2</v>
      </c>
      <c r="I179" s="6">
        <v>4334.4693799999995</v>
      </c>
      <c r="J179" s="6">
        <v>-8.97271740034512</v>
      </c>
      <c r="K179" s="6"/>
      <c r="L179" s="6"/>
      <c r="M179" s="6">
        <v>5.3983870967741936</v>
      </c>
      <c r="N179" s="6"/>
      <c r="O179" s="6">
        <v>68.666666666666657</v>
      </c>
    </row>
    <row r="180" spans="1:15" s="3" customFormat="1" x14ac:dyDescent="0.25">
      <c r="A180" s="5">
        <v>35217</v>
      </c>
      <c r="B180" s="6">
        <v>0.69915254237288138</v>
      </c>
      <c r="C180" s="6">
        <v>3.4513057900000002</v>
      </c>
      <c r="D180" s="6">
        <v>386759.10000000003</v>
      </c>
      <c r="E180" s="6">
        <v>342772.8</v>
      </c>
      <c r="F180" s="6">
        <v>52153</v>
      </c>
      <c r="G180" s="6">
        <v>14329.63</v>
      </c>
      <c r="H180" s="6">
        <v>11020.9</v>
      </c>
      <c r="I180" s="6">
        <v>3267.4964570000002</v>
      </c>
      <c r="J180" s="6">
        <v>-3.5004381480940658</v>
      </c>
      <c r="K180" s="6"/>
      <c r="L180" s="6"/>
      <c r="M180" s="6">
        <v>5.2803124999999991</v>
      </c>
      <c r="N180" s="6"/>
      <c r="O180" s="6">
        <v>70.2</v>
      </c>
    </row>
    <row r="181" spans="1:15" s="3" customFormat="1" x14ac:dyDescent="0.25">
      <c r="A181" s="5">
        <v>35309</v>
      </c>
      <c r="B181" s="6">
        <v>1.3462582436563781</v>
      </c>
      <c r="C181" s="6">
        <v>5.0220985300000001</v>
      </c>
      <c r="D181" s="6">
        <v>401333.6</v>
      </c>
      <c r="E181" s="6">
        <v>382902.4</v>
      </c>
      <c r="F181" s="6">
        <v>56645</v>
      </c>
      <c r="G181" s="6">
        <v>15571.55</v>
      </c>
      <c r="H181" s="6">
        <v>11902.43</v>
      </c>
      <c r="I181" s="6">
        <v>5963.1161570000004</v>
      </c>
      <c r="J181" s="6">
        <v>5.8300040606211452</v>
      </c>
      <c r="K181" s="6"/>
      <c r="L181" s="6"/>
      <c r="M181" s="6">
        <v>5.3373437499999978</v>
      </c>
      <c r="N181" s="6"/>
      <c r="O181" s="6">
        <v>70.833333333333329</v>
      </c>
    </row>
    <row r="182" spans="1:15" s="3" customFormat="1" x14ac:dyDescent="0.25">
      <c r="A182" s="5">
        <v>35400</v>
      </c>
      <c r="B182" s="6">
        <v>2.2899922086443039</v>
      </c>
      <c r="C182" s="6">
        <v>6.02050222</v>
      </c>
      <c r="D182" s="6">
        <v>400568.3</v>
      </c>
      <c r="E182" s="6">
        <v>364976.3</v>
      </c>
      <c r="F182" s="6">
        <v>59724</v>
      </c>
      <c r="G182" s="6">
        <v>17763.27</v>
      </c>
      <c r="H182" s="6">
        <v>13451.45</v>
      </c>
      <c r="I182" s="6">
        <v>5460.7430189999995</v>
      </c>
      <c r="J182" s="6">
        <v>18.008096443406025</v>
      </c>
      <c r="K182" s="6"/>
      <c r="L182" s="6"/>
      <c r="M182" s="6">
        <v>5.3195161290322561</v>
      </c>
      <c r="N182" s="6"/>
      <c r="O182" s="6">
        <v>72.2</v>
      </c>
    </row>
    <row r="183" spans="1:15" s="3" customFormat="1" x14ac:dyDescent="0.25">
      <c r="A183" s="5">
        <v>35490</v>
      </c>
      <c r="B183" s="6">
        <v>1.5043434032136422</v>
      </c>
      <c r="C183" s="6">
        <v>5.9622828999999999</v>
      </c>
      <c r="D183" s="6">
        <v>362142.21600000001</v>
      </c>
      <c r="E183" s="6">
        <v>313957.29099999997</v>
      </c>
      <c r="F183" s="6">
        <v>58815</v>
      </c>
      <c r="G183" s="6">
        <v>16651.91</v>
      </c>
      <c r="H183" s="6">
        <v>12534.32</v>
      </c>
      <c r="I183" s="6">
        <v>8959.2657889999991</v>
      </c>
      <c r="J183" s="6">
        <v>32.475921073629273</v>
      </c>
      <c r="K183" s="6"/>
      <c r="L183" s="6"/>
      <c r="M183" s="6">
        <v>5.2748437499999987</v>
      </c>
      <c r="N183" s="6"/>
      <c r="O183" s="6">
        <v>72.899999999999991</v>
      </c>
    </row>
    <row r="184" spans="1:15" s="3" customFormat="1" x14ac:dyDescent="0.25">
      <c r="A184" s="5">
        <v>35582</v>
      </c>
      <c r="B184" s="6">
        <v>1.859472001777273</v>
      </c>
      <c r="C184" s="6">
        <v>7.1832474900000003</v>
      </c>
      <c r="D184" s="6">
        <v>405346.72700000001</v>
      </c>
      <c r="E184" s="6">
        <v>357034.58299999998</v>
      </c>
      <c r="F184" s="6">
        <v>57104</v>
      </c>
      <c r="G184" s="6">
        <v>20415.740000000002</v>
      </c>
      <c r="H184" s="6">
        <v>15196.79</v>
      </c>
      <c r="I184" s="6">
        <v>26012.576636999998</v>
      </c>
      <c r="J184" s="6">
        <v>39.309781189815858</v>
      </c>
      <c r="K184" s="6"/>
      <c r="L184" s="6"/>
      <c r="M184" s="6">
        <v>5.5443076923076902</v>
      </c>
      <c r="N184" s="6"/>
      <c r="O184" s="6">
        <v>74.166666666666671</v>
      </c>
    </row>
    <row r="185" spans="1:15" s="3" customFormat="1" x14ac:dyDescent="0.25">
      <c r="A185" s="5">
        <v>35674</v>
      </c>
      <c r="B185" s="6">
        <v>0.51811713615478572</v>
      </c>
      <c r="C185" s="6">
        <v>6.30740999</v>
      </c>
      <c r="D185" s="6">
        <v>423946.04599999997</v>
      </c>
      <c r="E185" s="6">
        <v>392986.45900000003</v>
      </c>
      <c r="F185" s="6">
        <v>60580</v>
      </c>
      <c r="G185" s="6">
        <v>20322.62</v>
      </c>
      <c r="H185" s="6">
        <v>15049.3</v>
      </c>
      <c r="I185" s="6">
        <v>11462.011745</v>
      </c>
      <c r="J185" s="6">
        <v>36.858645094054246</v>
      </c>
      <c r="K185" s="6"/>
      <c r="L185" s="6"/>
      <c r="M185" s="6">
        <v>5.5659999999999998</v>
      </c>
      <c r="N185" s="6"/>
      <c r="O185" s="6">
        <v>75.166666666666671</v>
      </c>
    </row>
    <row r="186" spans="1:15" s="3" customFormat="1" x14ac:dyDescent="0.25">
      <c r="A186" s="5">
        <v>35765</v>
      </c>
      <c r="B186" s="6">
        <v>-2.7370740574657773</v>
      </c>
      <c r="C186" s="6">
        <v>1.08290676</v>
      </c>
      <c r="D186" s="6">
        <v>423770.01300000004</v>
      </c>
      <c r="E186" s="6">
        <v>392073.50699999998</v>
      </c>
      <c r="F186" s="6">
        <v>58356</v>
      </c>
      <c r="G186" s="6">
        <v>14646.78</v>
      </c>
      <c r="H186" s="6">
        <v>10722.76</v>
      </c>
      <c r="I186" s="6">
        <v>4948.1161700000002</v>
      </c>
      <c r="J186" s="6">
        <v>20.221387331584879</v>
      </c>
      <c r="K186" s="6"/>
      <c r="L186" s="6"/>
      <c r="M186" s="6">
        <v>5.5351515151515143</v>
      </c>
      <c r="N186" s="6"/>
      <c r="O186" s="6">
        <v>76.066666666666663</v>
      </c>
    </row>
    <row r="187" spans="1:15" s="3" customFormat="1" x14ac:dyDescent="0.25">
      <c r="A187" s="5">
        <v>35855</v>
      </c>
      <c r="B187" s="6">
        <v>-2.3887485654371359</v>
      </c>
      <c r="C187" s="6">
        <v>-2.7940214499999998</v>
      </c>
      <c r="D187" s="6">
        <v>343537.13899999997</v>
      </c>
      <c r="E187" s="6">
        <v>310976.09000000003</v>
      </c>
      <c r="F187" s="6">
        <v>50947</v>
      </c>
      <c r="G187" s="6">
        <v>15847.82</v>
      </c>
      <c r="H187" s="6">
        <v>11518.68</v>
      </c>
      <c r="I187" s="6">
        <v>6249.0551450000003</v>
      </c>
      <c r="J187" s="6">
        <v>-13.048208864602307</v>
      </c>
      <c r="K187" s="6"/>
      <c r="L187" s="6"/>
      <c r="M187" s="6">
        <v>5.5254687500000008</v>
      </c>
      <c r="N187" s="6"/>
      <c r="O187" s="6">
        <v>76.5</v>
      </c>
    </row>
    <row r="188" spans="1:15" s="3" customFormat="1" x14ac:dyDescent="0.25">
      <c r="A188" s="5">
        <v>35947</v>
      </c>
      <c r="B188" s="6">
        <v>-1.6648213795975582</v>
      </c>
      <c r="C188" s="6">
        <v>-6.1573059800000003</v>
      </c>
      <c r="D188" s="6">
        <v>380902.00199999998</v>
      </c>
      <c r="E188" s="6">
        <v>345924.62</v>
      </c>
      <c r="F188" s="6">
        <v>48326</v>
      </c>
      <c r="G188" s="6">
        <v>11923.44</v>
      </c>
      <c r="H188" s="6">
        <v>8543.1</v>
      </c>
      <c r="I188" s="6">
        <v>4470.5116180000005</v>
      </c>
      <c r="J188" s="6">
        <v>-28.464960644891434</v>
      </c>
      <c r="K188" s="6"/>
      <c r="L188" s="6"/>
      <c r="M188" s="6">
        <v>5.5092307692307694</v>
      </c>
      <c r="N188" s="6"/>
      <c r="O188" s="6">
        <v>77.433333333333337</v>
      </c>
    </row>
    <row r="189" spans="1:15" s="3" customFormat="1" x14ac:dyDescent="0.25">
      <c r="A189" s="5">
        <v>36039</v>
      </c>
      <c r="B189" s="6">
        <v>-1.5972007024067763</v>
      </c>
      <c r="C189" s="6">
        <v>-8.1321452500000007</v>
      </c>
      <c r="D189" s="6">
        <v>358667.674</v>
      </c>
      <c r="E189" s="6">
        <v>352442.435</v>
      </c>
      <c r="F189" s="6">
        <v>48851</v>
      </c>
      <c r="G189" s="6">
        <v>11107.2</v>
      </c>
      <c r="H189" s="6">
        <v>7883.46</v>
      </c>
      <c r="I189" s="6">
        <v>2424.0377319999998</v>
      </c>
      <c r="J189" s="6">
        <v>-40.539352628527858</v>
      </c>
      <c r="K189" s="6"/>
      <c r="L189" s="6"/>
      <c r="M189" s="6">
        <v>5.5546969696969697</v>
      </c>
      <c r="N189" s="6"/>
      <c r="O189" s="6">
        <v>77.300000000000011</v>
      </c>
    </row>
    <row r="190" spans="1:15" s="3" customFormat="1" x14ac:dyDescent="0.25">
      <c r="A190" s="5">
        <v>36130</v>
      </c>
      <c r="B190" s="6">
        <v>-0.89304693548175473</v>
      </c>
      <c r="C190" s="6">
        <v>-6.3904043499999998</v>
      </c>
      <c r="D190" s="6">
        <v>346779.84199999995</v>
      </c>
      <c r="E190" s="6">
        <v>338575.13099999999</v>
      </c>
      <c r="F190" s="6">
        <v>47551</v>
      </c>
      <c r="G190" s="6">
        <v>14251.73</v>
      </c>
      <c r="H190" s="6">
        <v>10048.58</v>
      </c>
      <c r="I190" s="6">
        <v>943.33362199999999</v>
      </c>
      <c r="J190" s="6">
        <v>-38.010874382299818</v>
      </c>
      <c r="K190" s="6"/>
      <c r="L190" s="6"/>
      <c r="M190" s="6">
        <v>4.8743939393939399</v>
      </c>
      <c r="N190" s="6"/>
      <c r="O190" s="6">
        <v>75.5</v>
      </c>
    </row>
    <row r="191" spans="1:15" s="3" customFormat="1" x14ac:dyDescent="0.25">
      <c r="A191" s="5">
        <v>36220</v>
      </c>
      <c r="B191" s="6">
        <v>1.0493787931746688</v>
      </c>
      <c r="C191" s="6">
        <v>-3.09322593</v>
      </c>
      <c r="D191" s="6">
        <v>296027.978</v>
      </c>
      <c r="E191" s="6">
        <v>283097.82799999998</v>
      </c>
      <c r="F191" s="6">
        <v>43949</v>
      </c>
      <c r="G191" s="6">
        <v>15658.45</v>
      </c>
      <c r="H191" s="6">
        <v>10942.2</v>
      </c>
      <c r="I191" s="6">
        <v>4036.7399599999999</v>
      </c>
      <c r="J191" s="6">
        <v>-25.276070877929968</v>
      </c>
      <c r="K191" s="6"/>
      <c r="L191" s="6">
        <v>59712</v>
      </c>
      <c r="M191" s="6">
        <v>4.7534375000000004</v>
      </c>
      <c r="N191" s="6"/>
      <c r="O191" s="6">
        <v>75.133333333333326</v>
      </c>
    </row>
    <row r="192" spans="1:15" s="3" customFormat="1" x14ac:dyDescent="0.25">
      <c r="A192" s="5">
        <v>36312</v>
      </c>
      <c r="B192" s="6">
        <v>2.2043158680869461</v>
      </c>
      <c r="C192" s="6">
        <v>0.71970871000000003</v>
      </c>
      <c r="D192" s="6">
        <v>337912.56799999997</v>
      </c>
      <c r="E192" s="6">
        <v>325680.402</v>
      </c>
      <c r="F192" s="6">
        <v>44541</v>
      </c>
      <c r="G192" s="6">
        <v>19529.919999999998</v>
      </c>
      <c r="H192" s="6">
        <v>13532.14</v>
      </c>
      <c r="I192" s="6">
        <v>12042.083559000001</v>
      </c>
      <c r="J192" s="6">
        <v>-14.56515631288395</v>
      </c>
      <c r="K192" s="6"/>
      <c r="L192" s="6">
        <v>80057</v>
      </c>
      <c r="M192" s="6">
        <v>4.7550769230769241</v>
      </c>
      <c r="N192" s="6"/>
      <c r="O192" s="6">
        <v>74.366666666666674</v>
      </c>
    </row>
    <row r="193" spans="1:15" s="3" customFormat="1" x14ac:dyDescent="0.25">
      <c r="A193" s="5">
        <v>36404</v>
      </c>
      <c r="B193" s="6">
        <v>1.9983231930097145</v>
      </c>
      <c r="C193" s="6">
        <v>4.3998897799999996</v>
      </c>
      <c r="D193" s="6">
        <v>374410.32299999997</v>
      </c>
      <c r="E193" s="6">
        <v>367951.1</v>
      </c>
      <c r="F193" s="6">
        <v>45303</v>
      </c>
      <c r="G193" s="6">
        <v>18482.63</v>
      </c>
      <c r="H193" s="6">
        <v>12733.24</v>
      </c>
      <c r="I193" s="6">
        <v>7055.9779769999996</v>
      </c>
      <c r="J193" s="6">
        <v>2.2931635527380463</v>
      </c>
      <c r="K193" s="6"/>
      <c r="L193" s="6">
        <v>48825</v>
      </c>
      <c r="M193" s="6">
        <v>5.1174242424242431</v>
      </c>
      <c r="N193" s="6"/>
      <c r="O193" s="6">
        <v>72.7</v>
      </c>
    </row>
    <row r="194" spans="1:15" s="3" customFormat="1" x14ac:dyDescent="0.25">
      <c r="A194" s="5">
        <v>36495</v>
      </c>
      <c r="B194" s="6">
        <v>2.7788879923382628</v>
      </c>
      <c r="C194" s="6">
        <v>8.2679291999999993</v>
      </c>
      <c r="D194" s="6">
        <v>385486.72399999999</v>
      </c>
      <c r="E194" s="6">
        <v>373814.41700000002</v>
      </c>
      <c r="F194" s="6">
        <v>46125</v>
      </c>
      <c r="G194" s="6">
        <v>24855.360000000001</v>
      </c>
      <c r="H194" s="6">
        <v>16962.099999999999</v>
      </c>
      <c r="I194" s="6">
        <v>12395.523465</v>
      </c>
      <c r="J194" s="6">
        <v>-0.7738029347010501</v>
      </c>
      <c r="K194" s="6"/>
      <c r="L194" s="6">
        <v>44445</v>
      </c>
      <c r="M194" s="6">
        <v>5.3077272727272726</v>
      </c>
      <c r="N194" s="6"/>
      <c r="O194" s="6">
        <v>72.36666666666666</v>
      </c>
    </row>
    <row r="195" spans="1:15" s="3" customFormat="1" x14ac:dyDescent="0.25">
      <c r="A195" s="5">
        <v>36586</v>
      </c>
      <c r="B195" s="6">
        <v>2.961044424226416</v>
      </c>
      <c r="C195" s="6">
        <v>10.316156339999999</v>
      </c>
      <c r="D195" s="6">
        <v>363577.95499999996</v>
      </c>
      <c r="E195" s="6">
        <v>339865.68900000001</v>
      </c>
      <c r="F195" s="6">
        <v>47261</v>
      </c>
      <c r="G195" s="6">
        <v>25630.43</v>
      </c>
      <c r="H195" s="6">
        <v>17406.54</v>
      </c>
      <c r="I195" s="6">
        <v>10408.678829</v>
      </c>
      <c r="J195" s="6">
        <v>-0.61077353683480795</v>
      </c>
      <c r="K195" s="6">
        <v>-22.076191351500391</v>
      </c>
      <c r="L195" s="6">
        <v>46192</v>
      </c>
      <c r="M195" s="6">
        <v>5.737377049180326</v>
      </c>
      <c r="N195" s="6"/>
      <c r="O195" s="6">
        <v>71.366666666666674</v>
      </c>
    </row>
    <row r="196" spans="1:15" s="3" customFormat="1" x14ac:dyDescent="0.25">
      <c r="A196" s="5">
        <v>36678</v>
      </c>
      <c r="B196" s="6">
        <v>0.14513650194900982</v>
      </c>
      <c r="C196" s="6">
        <v>8.0935422399999997</v>
      </c>
      <c r="D196" s="6">
        <v>406823.70699999994</v>
      </c>
      <c r="E196" s="6">
        <v>382127.38300000003</v>
      </c>
      <c r="F196" s="6">
        <v>46723</v>
      </c>
      <c r="G196" s="6">
        <v>23979.93</v>
      </c>
      <c r="H196" s="6">
        <v>16155.78</v>
      </c>
      <c r="I196" s="6">
        <v>8220.0237410000009</v>
      </c>
      <c r="J196" s="6">
        <v>-7.9169259028827073</v>
      </c>
      <c r="K196" s="6">
        <v>-35.386359342527868</v>
      </c>
      <c r="L196" s="6">
        <v>43178</v>
      </c>
      <c r="M196" s="6">
        <v>6.2839062500000011</v>
      </c>
      <c r="N196" s="6"/>
      <c r="O196" s="6">
        <v>71.033333333333346</v>
      </c>
    </row>
    <row r="197" spans="1:15" s="3" customFormat="1" x14ac:dyDescent="0.25">
      <c r="A197" s="5">
        <v>36770</v>
      </c>
      <c r="B197" s="6">
        <v>1.2372092581962741</v>
      </c>
      <c r="C197" s="6">
        <v>7.2869456399999999</v>
      </c>
      <c r="D197" s="6">
        <v>449429.54200000002</v>
      </c>
      <c r="E197" s="6">
        <v>432610.17200000002</v>
      </c>
      <c r="F197" s="6">
        <v>46186</v>
      </c>
      <c r="G197" s="6">
        <v>23342.46</v>
      </c>
      <c r="H197" s="6">
        <v>15648.98</v>
      </c>
      <c r="I197" s="6">
        <v>8124.8697480000001</v>
      </c>
      <c r="J197" s="6">
        <v>-9.8283704035221042</v>
      </c>
      <c r="K197" s="6">
        <v>16.970262262701635</v>
      </c>
      <c r="L197" s="6">
        <v>56422</v>
      </c>
      <c r="M197" s="6">
        <v>6.5114285714285698</v>
      </c>
      <c r="N197" s="6"/>
      <c r="O197" s="6">
        <v>70.599999999999994</v>
      </c>
    </row>
    <row r="198" spans="1:15" s="3" customFormat="1" x14ac:dyDescent="0.25">
      <c r="A198" s="5">
        <v>36861</v>
      </c>
      <c r="B198" s="6">
        <v>0.72561561350483816</v>
      </c>
      <c r="C198" s="6">
        <v>5.1436132199999998</v>
      </c>
      <c r="D198" s="6">
        <v>440249.29700000002</v>
      </c>
      <c r="E198" s="6">
        <v>419955.32799999998</v>
      </c>
      <c r="F198" s="6">
        <v>46529</v>
      </c>
      <c r="G198" s="6">
        <v>22594.98</v>
      </c>
      <c r="H198" s="6">
        <v>15095.53</v>
      </c>
      <c r="I198" s="6">
        <v>5788.1630809999997</v>
      </c>
      <c r="J198" s="6">
        <v>-9.4406336623845188</v>
      </c>
      <c r="K198" s="6">
        <v>3.8530040370458325</v>
      </c>
      <c r="L198" s="6">
        <v>52501</v>
      </c>
      <c r="M198" s="6">
        <v>6.4996774193548408</v>
      </c>
      <c r="N198" s="6"/>
      <c r="O198" s="6">
        <v>70.600000000000009</v>
      </c>
    </row>
    <row r="199" spans="1:15" s="3" customFormat="1" x14ac:dyDescent="0.25">
      <c r="A199" s="5">
        <v>36951</v>
      </c>
      <c r="B199" s="6">
        <v>-0.33123442977202044</v>
      </c>
      <c r="C199" s="6">
        <v>1.78154462</v>
      </c>
      <c r="D199" s="6">
        <v>376777.49199999997</v>
      </c>
      <c r="E199" s="6">
        <v>347503.16099999996</v>
      </c>
      <c r="F199" s="6">
        <v>47236</v>
      </c>
      <c r="G199" s="6">
        <v>19246.45</v>
      </c>
      <c r="H199" s="6">
        <v>12760.64</v>
      </c>
      <c r="I199" s="6">
        <v>6558.3910619999997</v>
      </c>
      <c r="J199" s="6">
        <v>-14.618519448986747</v>
      </c>
      <c r="K199" s="6">
        <v>1.3209883823789585</v>
      </c>
      <c r="L199" s="6">
        <v>40355</v>
      </c>
      <c r="M199" s="6">
        <v>5.6117741935483876</v>
      </c>
      <c r="N199" s="6"/>
      <c r="O199" s="6">
        <v>69.966666666666683</v>
      </c>
    </row>
    <row r="200" spans="1:15" s="3" customFormat="1" x14ac:dyDescent="0.25">
      <c r="A200" s="5">
        <v>37043</v>
      </c>
      <c r="B200" s="6">
        <v>-0.14539666684559249</v>
      </c>
      <c r="C200" s="6">
        <v>1.48626404</v>
      </c>
      <c r="D200" s="6">
        <v>393133.33500000002</v>
      </c>
      <c r="E200" s="6">
        <v>363941.37699999998</v>
      </c>
      <c r="F200" s="6">
        <v>47804</v>
      </c>
      <c r="G200" s="6">
        <v>19817.48</v>
      </c>
      <c r="H200" s="6">
        <v>13042.53</v>
      </c>
      <c r="I200" s="6">
        <v>9286.2243240000007</v>
      </c>
      <c r="J200" s="6">
        <v>-8.6006473449846848</v>
      </c>
      <c r="K200" s="6">
        <v>15.35672514619883</v>
      </c>
      <c r="L200" s="6">
        <v>42295</v>
      </c>
      <c r="M200" s="6">
        <v>4.3307812500000002</v>
      </c>
      <c r="N200" s="6"/>
      <c r="O200" s="6">
        <v>70.066666666666663</v>
      </c>
    </row>
    <row r="201" spans="1:15" s="3" customFormat="1" x14ac:dyDescent="0.25">
      <c r="A201" s="5">
        <v>37135</v>
      </c>
      <c r="B201" s="6">
        <v>-7.7361753844715553E-2</v>
      </c>
      <c r="C201" s="6">
        <v>0.16845903000000001</v>
      </c>
      <c r="D201" s="6">
        <v>419959.37299999991</v>
      </c>
      <c r="E201" s="6">
        <v>401563.35</v>
      </c>
      <c r="F201" s="6">
        <v>45273</v>
      </c>
      <c r="G201" s="6">
        <v>15242.13</v>
      </c>
      <c r="H201" s="6">
        <v>9950.7000000000007</v>
      </c>
      <c r="I201" s="6">
        <v>7724.751448</v>
      </c>
      <c r="J201" s="6">
        <v>-9.0168719041243151</v>
      </c>
      <c r="K201" s="6">
        <v>-4.8219897743796611</v>
      </c>
      <c r="L201" s="6">
        <v>47266</v>
      </c>
      <c r="M201" s="6">
        <v>3.4879365079365088</v>
      </c>
      <c r="N201" s="6"/>
      <c r="O201" s="6">
        <v>69.866666666666674</v>
      </c>
    </row>
    <row r="202" spans="1:15" s="3" customFormat="1" x14ac:dyDescent="0.25">
      <c r="A202" s="5">
        <v>37226</v>
      </c>
      <c r="B202" s="6">
        <v>-0.60253222588409205</v>
      </c>
      <c r="C202" s="6">
        <v>-1.15234225</v>
      </c>
      <c r="D202" s="6">
        <v>381393.88199999998</v>
      </c>
      <c r="E202" s="6">
        <v>369531.47599999997</v>
      </c>
      <c r="F202" s="6">
        <v>44073</v>
      </c>
      <c r="G202" s="6">
        <v>17523.09</v>
      </c>
      <c r="H202" s="6">
        <v>11397.21</v>
      </c>
      <c r="I202" s="6">
        <v>1751.7139709999999</v>
      </c>
      <c r="J202" s="6">
        <v>-10.416246051924674</v>
      </c>
      <c r="K202" s="6">
        <v>18.538844109072201</v>
      </c>
      <c r="L202" s="6">
        <v>44031</v>
      </c>
      <c r="M202" s="6">
        <v>2.1533870967741944</v>
      </c>
      <c r="N202" s="6"/>
      <c r="O202" s="6">
        <v>69.13333333333334</v>
      </c>
    </row>
    <row r="203" spans="1:15" s="3" customFormat="1" x14ac:dyDescent="0.25">
      <c r="A203" s="5">
        <v>37316</v>
      </c>
      <c r="B203" s="6">
        <v>7.1537322951008703E-2</v>
      </c>
      <c r="C203" s="6">
        <v>-0.75288867999999998</v>
      </c>
      <c r="D203" s="6">
        <v>342407.06599999999</v>
      </c>
      <c r="E203" s="6">
        <v>325877.565</v>
      </c>
      <c r="F203" s="6">
        <v>45501</v>
      </c>
      <c r="G203" s="6">
        <v>17134.09</v>
      </c>
      <c r="H203" s="6">
        <v>11032.92</v>
      </c>
      <c r="I203" s="6">
        <v>6226.8157840000003</v>
      </c>
      <c r="J203" s="6">
        <v>-6.4796216814315191</v>
      </c>
      <c r="K203" s="6">
        <v>21.954484605087014</v>
      </c>
      <c r="L203" s="6">
        <v>47152</v>
      </c>
      <c r="M203" s="6">
        <v>1.7408064516129029</v>
      </c>
      <c r="N203" s="6"/>
      <c r="O203" s="6">
        <v>68.133333333333326</v>
      </c>
    </row>
    <row r="204" spans="1:15" s="3" customFormat="1" x14ac:dyDescent="0.25">
      <c r="A204" s="5">
        <v>37408</v>
      </c>
      <c r="B204" s="6">
        <v>1.53013354277531</v>
      </c>
      <c r="C204" s="6">
        <v>0.91244800000000004</v>
      </c>
      <c r="D204" s="6">
        <v>394918.08900000004</v>
      </c>
      <c r="E204" s="6">
        <v>373866.61199999996</v>
      </c>
      <c r="F204" s="6">
        <v>45041</v>
      </c>
      <c r="G204" s="6">
        <v>16582.52</v>
      </c>
      <c r="H204" s="6">
        <v>10598.55</v>
      </c>
      <c r="I204" s="6">
        <v>6543.2702520000003</v>
      </c>
      <c r="J204" s="6">
        <v>-8.2014879794703202</v>
      </c>
      <c r="K204" s="6">
        <v>23.354962993004158</v>
      </c>
      <c r="L204" s="6">
        <v>55586</v>
      </c>
      <c r="M204" s="6">
        <v>1.7565625000000005</v>
      </c>
      <c r="N204" s="6"/>
      <c r="O204" s="6">
        <v>67.86666666666666</v>
      </c>
    </row>
    <row r="205" spans="1:15" s="3" customFormat="1" x14ac:dyDescent="0.25">
      <c r="A205" s="5">
        <v>37500</v>
      </c>
      <c r="B205" s="6">
        <v>1.570765510788301</v>
      </c>
      <c r="C205" s="6">
        <v>2.5769012199999999</v>
      </c>
      <c r="D205" s="6">
        <v>446872.495</v>
      </c>
      <c r="E205" s="6">
        <v>435669.85199999996</v>
      </c>
      <c r="F205" s="6">
        <v>43313</v>
      </c>
      <c r="G205" s="6">
        <v>14339.06</v>
      </c>
      <c r="H205" s="6">
        <v>9072.2099999999991</v>
      </c>
      <c r="I205" s="6">
        <v>5909.0078389999999</v>
      </c>
      <c r="J205" s="6">
        <v>-9.6123558953112678</v>
      </c>
      <c r="K205" s="6">
        <v>-10.068503277315067</v>
      </c>
      <c r="L205" s="6">
        <v>37726</v>
      </c>
      <c r="M205" s="6">
        <v>1.7481249999999999</v>
      </c>
      <c r="N205" s="6"/>
      <c r="O205" s="6">
        <v>67.466666666666654</v>
      </c>
    </row>
    <row r="206" spans="1:15" s="3" customFormat="1" x14ac:dyDescent="0.25">
      <c r="A206" s="5">
        <v>37591</v>
      </c>
      <c r="B206" s="6">
        <v>0.68886730240385274</v>
      </c>
      <c r="C206" s="6">
        <v>3.9096088299999998</v>
      </c>
      <c r="D206" s="6">
        <v>438139.41399999999</v>
      </c>
      <c r="E206" s="6">
        <v>426886.01299999998</v>
      </c>
      <c r="F206" s="6">
        <v>43004</v>
      </c>
      <c r="G206" s="6">
        <v>14787.67</v>
      </c>
      <c r="H206" s="6">
        <v>9321.2900000000009</v>
      </c>
      <c r="I206" s="6">
        <v>1693.830338</v>
      </c>
      <c r="J206" s="6">
        <v>-9.1112583869224153</v>
      </c>
      <c r="K206" s="6">
        <v>-13.184799382716051</v>
      </c>
      <c r="L206" s="6">
        <v>37725</v>
      </c>
      <c r="M206" s="6">
        <v>1.4554838709677425</v>
      </c>
      <c r="N206" s="6"/>
      <c r="O206" s="6">
        <v>67.066666666666677</v>
      </c>
    </row>
    <row r="207" spans="1:15" s="3" customFormat="1" x14ac:dyDescent="0.25">
      <c r="A207" s="5">
        <v>37681</v>
      </c>
      <c r="B207" s="6">
        <v>-8.2433696358649999E-2</v>
      </c>
      <c r="C207" s="6">
        <v>3.7497325099999999</v>
      </c>
      <c r="D207" s="6">
        <v>403420.674</v>
      </c>
      <c r="E207" s="6">
        <v>383262.54399999999</v>
      </c>
      <c r="F207" s="6">
        <v>44335</v>
      </c>
      <c r="G207" s="6">
        <v>13878.13</v>
      </c>
      <c r="H207" s="6">
        <v>8634.4500000000007</v>
      </c>
      <c r="I207" s="6">
        <v>8543.6390510000001</v>
      </c>
      <c r="J207" s="6">
        <v>-13.259531112233139</v>
      </c>
      <c r="K207" s="6">
        <v>-21.805946642485562</v>
      </c>
      <c r="L207" s="6">
        <v>34508</v>
      </c>
      <c r="M207" s="6">
        <v>1.2552459016393447</v>
      </c>
      <c r="N207" s="6"/>
      <c r="O207" s="6">
        <v>66.800000000000011</v>
      </c>
    </row>
    <row r="208" spans="1:15" s="3" customFormat="1" x14ac:dyDescent="0.25">
      <c r="A208" s="5">
        <v>37773</v>
      </c>
      <c r="B208" s="6">
        <v>-2.4319870898429974</v>
      </c>
      <c r="C208" s="6">
        <v>-0.29900594000000003</v>
      </c>
      <c r="D208" s="6">
        <v>433466.44</v>
      </c>
      <c r="E208" s="6">
        <v>419510.80699999997</v>
      </c>
      <c r="F208" s="6">
        <v>40103</v>
      </c>
      <c r="G208" s="6">
        <v>15618.82</v>
      </c>
      <c r="H208" s="6">
        <v>9577.1200000000008</v>
      </c>
      <c r="I208" s="6">
        <v>6910.7661230000003</v>
      </c>
      <c r="J208" s="6">
        <v>-15.084669719071394</v>
      </c>
      <c r="K208" s="6">
        <v>-33.090864258414499</v>
      </c>
      <c r="L208" s="6">
        <v>31582</v>
      </c>
      <c r="M208" s="6">
        <v>1.2537499999999995</v>
      </c>
      <c r="N208" s="6"/>
      <c r="O208" s="6">
        <v>66.233333333333334</v>
      </c>
    </row>
    <row r="209" spans="1:15" s="3" customFormat="1" x14ac:dyDescent="0.25">
      <c r="A209" s="5">
        <v>37865</v>
      </c>
      <c r="B209" s="6">
        <v>6.1330211186299719</v>
      </c>
      <c r="C209" s="6">
        <v>4.1792651200000002</v>
      </c>
      <c r="D209" s="6">
        <v>474964.73299999995</v>
      </c>
      <c r="E209" s="6">
        <v>466262.87200000003</v>
      </c>
      <c r="F209" s="6">
        <v>43121</v>
      </c>
      <c r="G209" s="6">
        <v>18545.8</v>
      </c>
      <c r="H209" s="6">
        <v>11229.87</v>
      </c>
      <c r="I209" s="6">
        <v>12469.466231</v>
      </c>
      <c r="J209" s="6">
        <v>-10.273875094991086</v>
      </c>
      <c r="K209" s="6">
        <v>16.900482244629547</v>
      </c>
      <c r="L209" s="6">
        <v>43907</v>
      </c>
      <c r="M209" s="6">
        <v>1.0150769230769232</v>
      </c>
      <c r="N209" s="6"/>
      <c r="O209" s="6">
        <v>64.966666666666669</v>
      </c>
    </row>
    <row r="210" spans="1:15" s="3" customFormat="1" x14ac:dyDescent="0.25">
      <c r="A210" s="5">
        <v>37956</v>
      </c>
      <c r="B210" s="6">
        <v>1.0510556521053946</v>
      </c>
      <c r="C210" s="6">
        <v>4.5540087900000001</v>
      </c>
      <c r="D210" s="6">
        <v>498900.46899999998</v>
      </c>
      <c r="E210" s="6">
        <v>475239.76699999999</v>
      </c>
      <c r="F210" s="6">
        <v>45304</v>
      </c>
      <c r="G210" s="6">
        <v>20885.2</v>
      </c>
      <c r="H210" s="6">
        <v>12575.94</v>
      </c>
      <c r="I210" s="6">
        <v>10921.214031</v>
      </c>
      <c r="J210" s="6">
        <v>1.1866486788630741</v>
      </c>
      <c r="K210" s="6">
        <v>51.933118542384179</v>
      </c>
      <c r="L210" s="6">
        <v>71909</v>
      </c>
      <c r="M210" s="6">
        <v>0.99951612903225784</v>
      </c>
      <c r="N210" s="6"/>
      <c r="O210" s="6">
        <v>65.533333333333346</v>
      </c>
    </row>
    <row r="211" spans="1:15" s="3" customFormat="1" x14ac:dyDescent="0.25">
      <c r="A211" s="5">
        <v>38047</v>
      </c>
      <c r="B211" s="6">
        <v>2.8571985548306604</v>
      </c>
      <c r="C211" s="6">
        <v>7.6300478500000004</v>
      </c>
      <c r="D211" s="6">
        <v>467105.06099999999</v>
      </c>
      <c r="E211" s="6">
        <v>433024.21299999999</v>
      </c>
      <c r="F211" s="6">
        <v>48054</v>
      </c>
      <c r="G211" s="6">
        <v>21215.99</v>
      </c>
      <c r="H211" s="6">
        <v>12681.67</v>
      </c>
      <c r="I211" s="6">
        <v>14090.319142</v>
      </c>
      <c r="J211" s="6">
        <v>19.467950165939776</v>
      </c>
      <c r="K211" s="6">
        <v>99.08447265625</v>
      </c>
      <c r="L211" s="6">
        <v>98414</v>
      </c>
      <c r="M211" s="6">
        <v>1.0032258064516131</v>
      </c>
      <c r="N211" s="6"/>
      <c r="O211" s="6">
        <v>65.600000000000009</v>
      </c>
    </row>
    <row r="212" spans="1:15" s="3" customFormat="1" x14ac:dyDescent="0.25">
      <c r="A212" s="5">
        <v>38139</v>
      </c>
      <c r="B212" s="6">
        <v>1.8042946761935446</v>
      </c>
      <c r="C212" s="6">
        <v>12.30321065</v>
      </c>
      <c r="D212" s="6">
        <v>528589.33400000003</v>
      </c>
      <c r="E212" s="6">
        <v>493682.44099999999</v>
      </c>
      <c r="F212" s="6">
        <v>47715</v>
      </c>
      <c r="G212" s="6">
        <v>20828.63</v>
      </c>
      <c r="H212" s="6">
        <v>12285.75</v>
      </c>
      <c r="I212" s="6">
        <v>14866.541519</v>
      </c>
      <c r="J212" s="6">
        <v>30.204727680799127</v>
      </c>
      <c r="K212" s="6">
        <v>69.277071432958664</v>
      </c>
      <c r="L212" s="6">
        <v>79315</v>
      </c>
      <c r="M212" s="6">
        <v>1.0132812500000004</v>
      </c>
      <c r="N212" s="6"/>
      <c r="O212" s="6">
        <v>65.633333333333326</v>
      </c>
    </row>
    <row r="213" spans="1:15" s="3" customFormat="1" x14ac:dyDescent="0.25">
      <c r="A213" s="5">
        <v>38231</v>
      </c>
      <c r="B213" s="6">
        <v>1.1366574617063308</v>
      </c>
      <c r="C213" s="6">
        <v>7.0163765099999997</v>
      </c>
      <c r="D213" s="6">
        <v>561380.23300000001</v>
      </c>
      <c r="E213" s="6">
        <v>546034.86600000004</v>
      </c>
      <c r="F213" s="6">
        <v>46774</v>
      </c>
      <c r="G213" s="6">
        <v>22442.28</v>
      </c>
      <c r="H213" s="6">
        <v>13120.03</v>
      </c>
      <c r="I213" s="6">
        <v>15429.049934000001</v>
      </c>
      <c r="J213" s="6">
        <v>30.195176673549462</v>
      </c>
      <c r="K213" s="6">
        <v>11.461653853365835</v>
      </c>
      <c r="L213" s="6">
        <v>65337</v>
      </c>
      <c r="M213" s="6">
        <v>1.4393750000000001</v>
      </c>
      <c r="N213" s="6"/>
      <c r="O213" s="6">
        <v>65.466666666666669</v>
      </c>
    </row>
    <row r="214" spans="1:15" s="3" customFormat="1" x14ac:dyDescent="0.25">
      <c r="A214" s="5">
        <v>38322</v>
      </c>
      <c r="B214" s="6">
        <v>2.0072403002474792</v>
      </c>
      <c r="C214" s="6">
        <v>8.0290073599999996</v>
      </c>
      <c r="D214" s="6">
        <v>557227.83699999994</v>
      </c>
      <c r="E214" s="6">
        <v>547813.95200000005</v>
      </c>
      <c r="F214" s="6">
        <v>48990</v>
      </c>
      <c r="G214" s="6">
        <v>24469.965906000001</v>
      </c>
      <c r="H214" s="6">
        <v>14230.14</v>
      </c>
      <c r="I214" s="6">
        <v>9723.3127299999996</v>
      </c>
      <c r="J214" s="6">
        <v>28.863091220601213</v>
      </c>
      <c r="K214" s="6">
        <v>22.883989616467403</v>
      </c>
      <c r="L214" s="6">
        <v>110477</v>
      </c>
      <c r="M214" s="6">
        <v>1.9571428571428575</v>
      </c>
      <c r="N214" s="6"/>
      <c r="O214" s="6">
        <v>65.86666666666666</v>
      </c>
    </row>
    <row r="215" spans="1:15" s="3" customFormat="1" x14ac:dyDescent="0.25">
      <c r="A215" s="5">
        <v>38412</v>
      </c>
      <c r="B215" s="6">
        <v>1.0779077041528318</v>
      </c>
      <c r="C215" s="6">
        <v>6.1602511900000003</v>
      </c>
      <c r="D215" s="6">
        <v>504711.64899999998</v>
      </c>
      <c r="E215" s="6">
        <v>478655.84600000002</v>
      </c>
      <c r="F215" s="6">
        <v>52074</v>
      </c>
      <c r="G215" s="6">
        <v>23424.383344999998</v>
      </c>
      <c r="H215" s="6">
        <v>13516.88</v>
      </c>
      <c r="I215" s="6">
        <v>15845.097486000001</v>
      </c>
      <c r="J215" s="6">
        <v>21.713875354519686</v>
      </c>
      <c r="K215" s="6">
        <v>-10.368508185664357</v>
      </c>
      <c r="L215" s="6">
        <v>96095</v>
      </c>
      <c r="M215" s="6">
        <v>2.4804838709677424</v>
      </c>
      <c r="N215" s="6">
        <v>60.699999999999996</v>
      </c>
      <c r="O215" s="6">
        <v>65.833333333333343</v>
      </c>
    </row>
    <row r="216" spans="1:15" s="3" customFormat="1" x14ac:dyDescent="0.25">
      <c r="A216" s="5">
        <v>38504</v>
      </c>
      <c r="B216" s="6">
        <v>3.1244544949615172</v>
      </c>
      <c r="C216" s="6">
        <v>7.5368974099999999</v>
      </c>
      <c r="D216" s="6">
        <v>581933.951</v>
      </c>
      <c r="E216" s="6">
        <v>555341.67200000002</v>
      </c>
      <c r="F216" s="6">
        <v>51135</v>
      </c>
      <c r="G216" s="6">
        <v>24953.279762999999</v>
      </c>
      <c r="H216" s="6">
        <v>14201.06</v>
      </c>
      <c r="I216" s="6">
        <v>24020.935841999999</v>
      </c>
      <c r="J216" s="6">
        <v>21.587890096626737</v>
      </c>
      <c r="K216" s="6">
        <v>54.640783744557332</v>
      </c>
      <c r="L216" s="6">
        <v>138179</v>
      </c>
      <c r="M216" s="6">
        <v>2.9426562499999998</v>
      </c>
      <c r="N216" s="6">
        <v>58.199999999999996</v>
      </c>
      <c r="O216" s="6">
        <v>66.100000000000009</v>
      </c>
    </row>
    <row r="217" spans="1:15" s="3" customFormat="1" x14ac:dyDescent="0.25">
      <c r="A217" s="5">
        <v>38596</v>
      </c>
      <c r="B217" s="6">
        <v>1.8879683613819582</v>
      </c>
      <c r="C217" s="6">
        <v>8.3357535800000004</v>
      </c>
      <c r="D217" s="6">
        <v>625866.72</v>
      </c>
      <c r="E217" s="6">
        <v>614538.59</v>
      </c>
      <c r="F217" s="6">
        <v>49565</v>
      </c>
      <c r="G217" s="6">
        <v>27348.304841000001</v>
      </c>
      <c r="H217" s="6">
        <v>15428.52</v>
      </c>
      <c r="I217" s="6">
        <v>22407.253658000001</v>
      </c>
      <c r="J217" s="6">
        <v>18.694227557572525</v>
      </c>
      <c r="K217" s="6">
        <v>9.9844387433233805</v>
      </c>
      <c r="L217" s="6">
        <v>82008</v>
      </c>
      <c r="M217" s="6">
        <v>3.4623437499999992</v>
      </c>
      <c r="N217" s="6">
        <v>54.29999999999999</v>
      </c>
      <c r="O217" s="6">
        <v>66.333333333333329</v>
      </c>
    </row>
    <row r="218" spans="1:15" s="3" customFormat="1" x14ac:dyDescent="0.25">
      <c r="A218" s="5">
        <v>38687</v>
      </c>
      <c r="B218" s="6">
        <v>1.2056199333189852</v>
      </c>
      <c r="C218" s="6">
        <v>7.4844008100000003</v>
      </c>
      <c r="D218" s="6">
        <v>620027.68099999998</v>
      </c>
      <c r="E218" s="6">
        <v>602624.91500000004</v>
      </c>
      <c r="F218" s="6">
        <v>51599</v>
      </c>
      <c r="G218" s="6">
        <v>26528.416220999999</v>
      </c>
      <c r="H218" s="6">
        <v>14876.43</v>
      </c>
      <c r="I218" s="6">
        <v>18499.453686000001</v>
      </c>
      <c r="J218" s="6">
        <v>6.7659079334996415</v>
      </c>
      <c r="K218" s="6">
        <v>-33.085391252603394</v>
      </c>
      <c r="L218" s="6">
        <v>71458</v>
      </c>
      <c r="M218" s="6">
        <v>3.9760655737704917</v>
      </c>
      <c r="N218" s="6">
        <v>56.366666666666667</v>
      </c>
      <c r="O218" s="6">
        <v>66.7</v>
      </c>
    </row>
    <row r="219" spans="1:15" s="3" customFormat="1" x14ac:dyDescent="0.25">
      <c r="A219" s="5">
        <v>38777</v>
      </c>
      <c r="B219" s="6">
        <v>2.2112701278932683</v>
      </c>
      <c r="C219" s="6">
        <v>8.6895977099999993</v>
      </c>
      <c r="D219" s="6">
        <v>574003.554</v>
      </c>
      <c r="E219" s="6">
        <v>537102.72699999996</v>
      </c>
      <c r="F219" s="6">
        <v>55154</v>
      </c>
      <c r="G219" s="6">
        <v>28396.935448</v>
      </c>
      <c r="H219" s="6">
        <v>15805.04</v>
      </c>
      <c r="I219" s="6">
        <v>33422.860898999999</v>
      </c>
      <c r="J219" s="6">
        <v>0.20687852421672712</v>
      </c>
      <c r="K219" s="6">
        <v>-27.561909974004649</v>
      </c>
      <c r="L219" s="6">
        <v>56999</v>
      </c>
      <c r="M219" s="6">
        <v>4.4672580645161286</v>
      </c>
      <c r="N219" s="6">
        <v>54.29999999999999</v>
      </c>
      <c r="O219" s="6">
        <v>66.866666666666674</v>
      </c>
    </row>
    <row r="220" spans="1:15" s="3" customFormat="1" x14ac:dyDescent="0.25">
      <c r="A220" s="5">
        <v>38869</v>
      </c>
      <c r="B220" s="6">
        <v>1.0072528042107876</v>
      </c>
      <c r="C220" s="6">
        <v>6.4581405800000002</v>
      </c>
      <c r="D220" s="6">
        <v>627045.55199999991</v>
      </c>
      <c r="E220" s="6">
        <v>584207.95499999996</v>
      </c>
      <c r="F220" s="6">
        <v>54468</v>
      </c>
      <c r="G220" s="6">
        <v>29607.386472999999</v>
      </c>
      <c r="H220" s="6">
        <v>16267.62</v>
      </c>
      <c r="I220" s="6">
        <v>40500.601239000003</v>
      </c>
      <c r="J220" s="6">
        <v>-3.3253035418084083</v>
      </c>
      <c r="K220" s="6">
        <v>-39.437809427720033</v>
      </c>
      <c r="L220" s="6">
        <v>78603</v>
      </c>
      <c r="M220" s="6">
        <v>4.9037500000000005</v>
      </c>
      <c r="N220" s="6">
        <v>59.533333333333331</v>
      </c>
      <c r="O220" s="6">
        <v>67.433333333333323</v>
      </c>
    </row>
    <row r="221" spans="1:15" s="3" customFormat="1" x14ac:dyDescent="0.25">
      <c r="A221" s="5">
        <v>38961</v>
      </c>
      <c r="B221" s="6">
        <v>1.7741600339690484</v>
      </c>
      <c r="C221" s="6">
        <v>6.3392273899999996</v>
      </c>
      <c r="D221" s="6">
        <v>692201.07200000004</v>
      </c>
      <c r="E221" s="6">
        <v>665905.12299999991</v>
      </c>
      <c r="F221" s="6">
        <v>53306</v>
      </c>
      <c r="G221" s="6">
        <v>32225.177553000001</v>
      </c>
      <c r="H221" s="6">
        <v>17543.05</v>
      </c>
      <c r="I221" s="6">
        <v>34308.051877999998</v>
      </c>
      <c r="J221" s="6">
        <v>-3.0821600860702665</v>
      </c>
      <c r="K221" s="6">
        <v>-1.5066345455240717</v>
      </c>
      <c r="L221" s="6">
        <v>77552</v>
      </c>
      <c r="M221" s="6">
        <v>5.2493650793650772</v>
      </c>
      <c r="N221" s="6">
        <v>56.800000000000004</v>
      </c>
      <c r="O221" s="6">
        <v>67.833333333333329</v>
      </c>
    </row>
    <row r="222" spans="1:15" s="3" customFormat="1" x14ac:dyDescent="0.25">
      <c r="A222" s="5">
        <v>39052</v>
      </c>
      <c r="B222" s="6">
        <v>1.5649855130098853</v>
      </c>
      <c r="C222" s="6">
        <v>6.7168216200000002</v>
      </c>
      <c r="D222" s="6">
        <v>706739.69299999997</v>
      </c>
      <c r="E222" s="6">
        <v>673948.13500000001</v>
      </c>
      <c r="F222" s="6">
        <v>56076</v>
      </c>
      <c r="G222" s="6">
        <v>36867.883751000001</v>
      </c>
      <c r="H222" s="6">
        <v>19964.72</v>
      </c>
      <c r="I222" s="6">
        <v>43618.225304</v>
      </c>
      <c r="J222" s="6">
        <v>1.3357162587869147</v>
      </c>
      <c r="K222" s="6">
        <v>8.5415740329035117</v>
      </c>
      <c r="L222" s="6">
        <v>73832</v>
      </c>
      <c r="M222" s="6">
        <v>5.245645161290323</v>
      </c>
      <c r="N222" s="6">
        <v>56.5</v>
      </c>
      <c r="O222" s="6">
        <v>68.133333333333326</v>
      </c>
    </row>
    <row r="223" spans="1:15" s="3" customFormat="1" x14ac:dyDescent="0.25">
      <c r="A223" s="5">
        <v>39142</v>
      </c>
      <c r="B223" s="6">
        <v>1.3506875798622218</v>
      </c>
      <c r="C223" s="6">
        <v>5.8183039299999999</v>
      </c>
      <c r="D223" s="6">
        <v>625915.53899999999</v>
      </c>
      <c r="E223" s="6">
        <v>585638.304</v>
      </c>
      <c r="F223" s="6">
        <v>60292</v>
      </c>
      <c r="G223" s="6">
        <v>36767.212562000001</v>
      </c>
      <c r="H223" s="6">
        <v>19800.93</v>
      </c>
      <c r="I223" s="6">
        <v>45776.950967999997</v>
      </c>
      <c r="J223" s="6">
        <v>3.7276033747726722</v>
      </c>
      <c r="K223" s="6">
        <v>27.755217678723206</v>
      </c>
      <c r="L223" s="6">
        <v>82032</v>
      </c>
      <c r="M223" s="6">
        <v>5.2619354838709675</v>
      </c>
      <c r="N223" s="6">
        <v>56.566666666666663</v>
      </c>
      <c r="O223" s="6">
        <v>68.033333333333331</v>
      </c>
    </row>
    <row r="224" spans="1:15" s="3" customFormat="1" x14ac:dyDescent="0.25">
      <c r="A224" s="5">
        <v>39234</v>
      </c>
      <c r="B224" s="6">
        <v>1.6314077467290782</v>
      </c>
      <c r="C224" s="6">
        <v>6.4721878400000001</v>
      </c>
      <c r="D224" s="6">
        <v>708172.61599999992</v>
      </c>
      <c r="E224" s="6">
        <v>653868.21100000001</v>
      </c>
      <c r="F224" s="6">
        <v>59405</v>
      </c>
      <c r="G224" s="6">
        <v>40917.247005999998</v>
      </c>
      <c r="H224" s="6">
        <v>21772.73</v>
      </c>
      <c r="I224" s="6">
        <v>68851.222649000003</v>
      </c>
      <c r="J224" s="6">
        <v>6.1791851572089538</v>
      </c>
      <c r="K224" s="6">
        <v>35.860679555228394</v>
      </c>
      <c r="L224" s="6">
        <v>130278</v>
      </c>
      <c r="M224" s="6">
        <v>5.2489062499999992</v>
      </c>
      <c r="N224" s="6">
        <v>58.333333333333336</v>
      </c>
      <c r="O224" s="6">
        <v>68.3</v>
      </c>
    </row>
    <row r="225" spans="1:15" s="3" customFormat="1" x14ac:dyDescent="0.25">
      <c r="A225" s="5">
        <v>39326</v>
      </c>
      <c r="B225" s="6">
        <v>1.9449653381755236</v>
      </c>
      <c r="C225" s="6">
        <v>6.6508777400000003</v>
      </c>
      <c r="D225" s="6">
        <v>756991.46</v>
      </c>
      <c r="E225" s="6">
        <v>720368.78899999999</v>
      </c>
      <c r="F225" s="6">
        <v>61331</v>
      </c>
      <c r="G225" s="6">
        <v>51412.836858000002</v>
      </c>
      <c r="H225" s="6">
        <v>27142.47</v>
      </c>
      <c r="I225" s="6">
        <v>148575.51538699999</v>
      </c>
      <c r="J225" s="6">
        <v>10.395187208861644</v>
      </c>
      <c r="K225" s="6">
        <v>32.356252669177309</v>
      </c>
      <c r="L225" s="6">
        <v>111856</v>
      </c>
      <c r="M225" s="6">
        <v>5.0903174603174604</v>
      </c>
      <c r="N225" s="6">
        <v>54.6</v>
      </c>
      <c r="O225" s="6">
        <v>68.933333333333337</v>
      </c>
    </row>
    <row r="226" spans="1:15" s="3" customFormat="1" x14ac:dyDescent="0.25">
      <c r="A226" s="5">
        <v>39417</v>
      </c>
      <c r="B226" s="6">
        <v>1.7961599797578263</v>
      </c>
      <c r="C226" s="6">
        <v>6.8936283300000003</v>
      </c>
      <c r="D226" s="6">
        <v>781281.90799999994</v>
      </c>
      <c r="E226" s="6">
        <v>729278.48900000006</v>
      </c>
      <c r="F226" s="6">
        <v>65971</v>
      </c>
      <c r="G226" s="6">
        <v>52857.974812</v>
      </c>
      <c r="H226" s="6">
        <v>27812.65</v>
      </c>
      <c r="I226" s="6">
        <v>43364.415719999997</v>
      </c>
      <c r="J226" s="6">
        <v>17.290642595406204</v>
      </c>
      <c r="K226" s="6">
        <v>88.652656589242554</v>
      </c>
      <c r="L226" s="6">
        <v>205862</v>
      </c>
      <c r="M226" s="6">
        <v>4.4964516129032255</v>
      </c>
      <c r="N226" s="6">
        <v>53.9</v>
      </c>
      <c r="O226" s="6">
        <v>70.5</v>
      </c>
    </row>
    <row r="227" spans="1:15" s="3" customFormat="1" x14ac:dyDescent="0.25">
      <c r="A227" s="5">
        <v>39508</v>
      </c>
      <c r="B227" s="6">
        <v>1.3664401258511634</v>
      </c>
      <c r="C227" s="6">
        <v>6.9102423899999996</v>
      </c>
      <c r="D227" s="6">
        <v>698420.27399999998</v>
      </c>
      <c r="E227" s="6">
        <v>647017.59299999999</v>
      </c>
      <c r="F227" s="6">
        <v>70893</v>
      </c>
      <c r="G227" s="6">
        <v>43665.639141</v>
      </c>
      <c r="H227" s="6">
        <v>22849.200000000001</v>
      </c>
      <c r="I227" s="6">
        <v>74503.102444999997</v>
      </c>
      <c r="J227" s="6">
        <v>23.836020388953649</v>
      </c>
      <c r="K227" s="6">
        <v>53.703429923122414</v>
      </c>
      <c r="L227" s="6">
        <v>166363</v>
      </c>
      <c r="M227" s="6">
        <v>3.168870967741936</v>
      </c>
      <c r="N227" s="6">
        <v>53.133333333333333</v>
      </c>
      <c r="O227" s="6">
        <v>71.13333333333334</v>
      </c>
    </row>
    <row r="228" spans="1:15" s="3" customFormat="1" x14ac:dyDescent="0.25">
      <c r="A228" s="5">
        <v>39600</v>
      </c>
      <c r="B228" s="6">
        <v>-1.1686283619844096</v>
      </c>
      <c r="C228" s="6">
        <v>3.9647696699999999</v>
      </c>
      <c r="D228" s="6">
        <v>773213.91300000006</v>
      </c>
      <c r="E228" s="6">
        <v>705565.68200000003</v>
      </c>
      <c r="F228" s="6">
        <v>67897</v>
      </c>
      <c r="G228" s="6">
        <v>42801.162262999998</v>
      </c>
      <c r="H228" s="6">
        <v>22102.01</v>
      </c>
      <c r="I228" s="6">
        <v>53061.083441000002</v>
      </c>
      <c r="J228" s="6">
        <v>18.727734025465882</v>
      </c>
      <c r="K228" s="6">
        <v>-10.154846436820943</v>
      </c>
      <c r="L228" s="6">
        <v>126396</v>
      </c>
      <c r="M228" s="6">
        <v>2.0903125000000005</v>
      </c>
      <c r="N228" s="6">
        <v>54.166666666666664</v>
      </c>
      <c r="O228" s="6">
        <v>72.233333333333334</v>
      </c>
    </row>
    <row r="229" spans="1:15" s="3" customFormat="1" x14ac:dyDescent="0.25">
      <c r="A229" s="5">
        <v>39692</v>
      </c>
      <c r="B229" s="6">
        <v>-1.1143793623536633</v>
      </c>
      <c r="C229" s="6">
        <v>0.84481110999999998</v>
      </c>
      <c r="D229" s="6">
        <v>808573.42099999997</v>
      </c>
      <c r="E229" s="6">
        <v>760185.33100000001</v>
      </c>
      <c r="F229" s="6">
        <v>67744</v>
      </c>
      <c r="G229" s="6">
        <v>35185.423717769998</v>
      </c>
      <c r="H229" s="6">
        <v>18016.21</v>
      </c>
      <c r="I229" s="6">
        <v>71802.449189000006</v>
      </c>
      <c r="J229" s="6">
        <v>13.200853106703212</v>
      </c>
      <c r="K229" s="6">
        <v>-36.933501510662637</v>
      </c>
      <c r="L229" s="6">
        <v>74936</v>
      </c>
      <c r="M229" s="6">
        <v>1.9574999999999998</v>
      </c>
      <c r="N229" s="6">
        <v>47.966666666666661</v>
      </c>
      <c r="O229" s="6">
        <v>72.13333333333334</v>
      </c>
    </row>
    <row r="230" spans="1:15" s="3" customFormat="1" x14ac:dyDescent="0.25">
      <c r="A230" s="5">
        <v>39783</v>
      </c>
      <c r="B230" s="6">
        <v>-2.0001617692938773</v>
      </c>
      <c r="C230" s="6">
        <v>-2.91603163</v>
      </c>
      <c r="D230" s="6">
        <v>748088.56099999999</v>
      </c>
      <c r="E230" s="6">
        <v>713882.31700000004</v>
      </c>
      <c r="F230" s="6">
        <v>66594</v>
      </c>
      <c r="G230" s="6">
        <v>28332.431090900001</v>
      </c>
      <c r="H230" s="6">
        <v>14387.48</v>
      </c>
      <c r="I230" s="6">
        <v>19452.697613</v>
      </c>
      <c r="J230" s="6">
        <v>-6.7813959277081155</v>
      </c>
      <c r="K230" s="6">
        <v>-69.438895161990786</v>
      </c>
      <c r="L230" s="6">
        <v>49401</v>
      </c>
      <c r="M230" s="6">
        <v>0.53403225806451626</v>
      </c>
      <c r="N230" s="6">
        <v>33.700000000000003</v>
      </c>
      <c r="O230" s="6">
        <v>72.13333333333334</v>
      </c>
    </row>
    <row r="231" spans="1:15" s="3" customFormat="1" x14ac:dyDescent="0.25">
      <c r="A231" s="5">
        <v>39873</v>
      </c>
      <c r="B231" s="6">
        <v>-3.4314551175372756</v>
      </c>
      <c r="C231" s="6">
        <v>-7.5112281200000002</v>
      </c>
      <c r="D231" s="6">
        <v>539344.48499999999</v>
      </c>
      <c r="E231" s="6">
        <v>505177.20700000005</v>
      </c>
      <c r="F231" s="6">
        <v>68151</v>
      </c>
      <c r="G231" s="6">
        <v>26835.00768079</v>
      </c>
      <c r="H231" s="6">
        <v>13576.02</v>
      </c>
      <c r="I231" s="6">
        <v>49006.645345999998</v>
      </c>
      <c r="J231" s="6">
        <v>-15.029811983744407</v>
      </c>
      <c r="K231" s="6">
        <v>-56.819602750925789</v>
      </c>
      <c r="L231" s="6">
        <v>61777</v>
      </c>
      <c r="M231" s="6">
        <v>0.1870491803278688</v>
      </c>
      <c r="N231" s="6">
        <v>41.533333333333331</v>
      </c>
      <c r="O231" s="6">
        <v>72.333333333333329</v>
      </c>
    </row>
    <row r="232" spans="1:15" s="3" customFormat="1" x14ac:dyDescent="0.25">
      <c r="A232" s="5">
        <v>39965</v>
      </c>
      <c r="B232" s="6">
        <v>3.5553067090868495</v>
      </c>
      <c r="C232" s="6">
        <v>-3.0904562000000002</v>
      </c>
      <c r="D232" s="6">
        <v>658378.47200000007</v>
      </c>
      <c r="E232" s="6">
        <v>614553.70699999994</v>
      </c>
      <c r="F232" s="6">
        <v>64451</v>
      </c>
      <c r="G232" s="6">
        <v>36948.288682860002</v>
      </c>
      <c r="H232" s="6">
        <v>18378.73</v>
      </c>
      <c r="I232" s="6">
        <v>65124.309421999998</v>
      </c>
      <c r="J232" s="6">
        <v>-6.9731407981106939</v>
      </c>
      <c r="K232" s="6">
        <v>22.67822002158319</v>
      </c>
      <c r="L232" s="6">
        <v>139888</v>
      </c>
      <c r="M232" s="6">
        <v>0.17859375000000005</v>
      </c>
      <c r="N232" s="6">
        <v>50.199999999999996</v>
      </c>
      <c r="O232" s="6">
        <v>72.2</v>
      </c>
    </row>
    <row r="233" spans="1:15" s="3" customFormat="1" x14ac:dyDescent="0.25">
      <c r="A233" s="5">
        <v>40057</v>
      </c>
      <c r="B233" s="6">
        <v>0.51575303817616791</v>
      </c>
      <c r="C233" s="6">
        <v>-1.4928994799999999</v>
      </c>
      <c r="D233" s="6">
        <v>724136.38900000008</v>
      </c>
      <c r="E233" s="6">
        <v>651478.01699999999</v>
      </c>
      <c r="F233" s="6">
        <v>66997</v>
      </c>
      <c r="G233" s="6">
        <v>42406.602469999998</v>
      </c>
      <c r="H233" s="6">
        <v>20955.25</v>
      </c>
      <c r="I233" s="6">
        <v>49017.827993999999</v>
      </c>
      <c r="J233" s="6">
        <v>4.1270125543994229</v>
      </c>
      <c r="K233" s="6">
        <v>85.497674418604646</v>
      </c>
      <c r="L233" s="6">
        <v>169254</v>
      </c>
      <c r="M233" s="6">
        <v>0.15461538461538471</v>
      </c>
      <c r="N233" s="6">
        <v>52.5</v>
      </c>
      <c r="O233" s="6">
        <v>71.466666666666669</v>
      </c>
    </row>
    <row r="234" spans="1:15" s="3" customFormat="1" x14ac:dyDescent="0.25">
      <c r="A234" s="5">
        <v>40148</v>
      </c>
      <c r="B234" s="6">
        <v>1.9537265587165293</v>
      </c>
      <c r="C234" s="6">
        <v>2.48145478</v>
      </c>
      <c r="D234" s="6">
        <v>773032.68800000008</v>
      </c>
      <c r="E234" s="6">
        <v>699671.76199999999</v>
      </c>
      <c r="F234" s="6">
        <v>75141</v>
      </c>
      <c r="G234" s="6">
        <v>44382.28672946</v>
      </c>
      <c r="H234" s="6">
        <v>21872.5</v>
      </c>
      <c r="I234" s="6">
        <v>30054.602722</v>
      </c>
      <c r="J234" s="6">
        <v>21.096944092880161</v>
      </c>
      <c r="K234" s="6">
        <v>127.62540855478186</v>
      </c>
      <c r="L234" s="6">
        <v>140925</v>
      </c>
      <c r="M234" s="6">
        <v>0.11870967741935488</v>
      </c>
      <c r="N234" s="6">
        <v>53.566666666666663</v>
      </c>
      <c r="O234" s="6">
        <v>73.3</v>
      </c>
    </row>
    <row r="235" spans="1:15" s="3" customFormat="1" x14ac:dyDescent="0.25">
      <c r="A235" s="5">
        <v>40238</v>
      </c>
      <c r="B235" s="6">
        <v>1.87832009677589</v>
      </c>
      <c r="C235" s="6">
        <v>8.1163485200000007</v>
      </c>
      <c r="D235" s="6">
        <v>724533.64800000004</v>
      </c>
      <c r="E235" s="6">
        <v>636488.57300000009</v>
      </c>
      <c r="F235" s="6">
        <v>80986</v>
      </c>
      <c r="G235" s="6">
        <v>43205.99</v>
      </c>
      <c r="H235" s="6">
        <v>21239.35</v>
      </c>
      <c r="I235" s="6">
        <v>67058.834283999997</v>
      </c>
      <c r="J235" s="6">
        <v>27.62487076918455</v>
      </c>
      <c r="K235" s="6">
        <v>108.83777913905442</v>
      </c>
      <c r="L235" s="6">
        <v>154936</v>
      </c>
      <c r="M235" s="6">
        <v>0.13672131147540983</v>
      </c>
      <c r="N235" s="6">
        <v>52.666666666666664</v>
      </c>
      <c r="O235" s="6">
        <v>73.86666666666666</v>
      </c>
    </row>
    <row r="236" spans="1:15" s="3" customFormat="1" x14ac:dyDescent="0.25">
      <c r="A236" s="5">
        <v>40330</v>
      </c>
      <c r="B236" s="6">
        <v>1.724950148747104</v>
      </c>
      <c r="C236" s="6">
        <v>6.2053748100000004</v>
      </c>
      <c r="D236" s="6">
        <v>854948.18399999989</v>
      </c>
      <c r="E236" s="6">
        <v>764026.46900000004</v>
      </c>
      <c r="F236" s="6">
        <v>75319</v>
      </c>
      <c r="G236" s="6">
        <v>41695.879999999997</v>
      </c>
      <c r="H236" s="6">
        <v>20128.990000000002</v>
      </c>
      <c r="I236" s="6">
        <v>55547.391247</v>
      </c>
      <c r="J236" s="6">
        <v>21.768431063720602</v>
      </c>
      <c r="K236" s="6">
        <v>-4.6544720705803213</v>
      </c>
      <c r="L236" s="6">
        <v>156401.70000000001</v>
      </c>
      <c r="M236" s="6">
        <v>0.19187499999999993</v>
      </c>
      <c r="N236" s="6">
        <v>53.333333333333336</v>
      </c>
      <c r="O236" s="6">
        <v>74.166666666666671</v>
      </c>
    </row>
    <row r="237" spans="1:15" s="3" customFormat="1" x14ac:dyDescent="0.25">
      <c r="A237" s="5">
        <v>40422</v>
      </c>
      <c r="B237" s="6">
        <v>0.8670401055609831</v>
      </c>
      <c r="C237" s="6">
        <v>6.5765462299999999</v>
      </c>
      <c r="D237" s="6">
        <v>899022.99600000004</v>
      </c>
      <c r="E237" s="6">
        <v>832149.45100000012</v>
      </c>
      <c r="F237" s="6">
        <v>78957</v>
      </c>
      <c r="G237" s="6">
        <v>46654.92</v>
      </c>
      <c r="H237" s="6">
        <v>22358.17</v>
      </c>
      <c r="I237" s="6">
        <v>85951.928524000003</v>
      </c>
      <c r="J237" s="6">
        <v>19.319108243007552</v>
      </c>
      <c r="K237" s="6">
        <v>8.587834110626348</v>
      </c>
      <c r="L237" s="6">
        <v>199382.09999999998</v>
      </c>
      <c r="M237" s="6">
        <v>0.18843750000000006</v>
      </c>
      <c r="N237" s="6">
        <v>52.033333333333339</v>
      </c>
      <c r="O237" s="6">
        <v>72.600000000000009</v>
      </c>
    </row>
    <row r="238" spans="1:15" s="3" customFormat="1" x14ac:dyDescent="0.25">
      <c r="A238" s="5">
        <v>40513</v>
      </c>
      <c r="B238" s="6">
        <v>1.6249923349418165</v>
      </c>
      <c r="C238" s="6">
        <v>6.2329064299999999</v>
      </c>
      <c r="D238" s="6">
        <v>889533.01399999997</v>
      </c>
      <c r="E238" s="6">
        <v>800214.30899999989</v>
      </c>
      <c r="F238" s="6">
        <v>89706</v>
      </c>
      <c r="G238" s="6">
        <v>48186.19</v>
      </c>
      <c r="H238" s="6">
        <v>23035.45</v>
      </c>
      <c r="I238" s="6">
        <v>30184.975044999999</v>
      </c>
      <c r="J238" s="6">
        <v>18.878202495958384</v>
      </c>
      <c r="K238" s="6">
        <v>17.224372580846548</v>
      </c>
      <c r="L238" s="6">
        <v>187241.50000000003</v>
      </c>
      <c r="M238" s="6">
        <v>0.18936507936507929</v>
      </c>
      <c r="N238" s="6">
        <v>53.1</v>
      </c>
      <c r="O238" s="6">
        <v>75.3</v>
      </c>
    </row>
    <row r="239" spans="1:15" s="3" customFormat="1" x14ac:dyDescent="0.25">
      <c r="A239" s="5">
        <v>40603</v>
      </c>
      <c r="B239" s="6">
        <v>2.7420637499265088</v>
      </c>
      <c r="C239" s="6">
        <v>7.1335690899999999</v>
      </c>
      <c r="D239" s="6">
        <v>874172.174</v>
      </c>
      <c r="E239" s="6">
        <v>793011.63699999999</v>
      </c>
      <c r="F239" s="6">
        <v>97991</v>
      </c>
      <c r="G239" s="6">
        <v>49365.53</v>
      </c>
      <c r="H239" s="6">
        <v>23527.52</v>
      </c>
      <c r="I239" s="6">
        <v>92761.384351999994</v>
      </c>
      <c r="J239" s="6">
        <v>19.789596689534733</v>
      </c>
      <c r="K239" s="6">
        <v>-8.4024426015306251</v>
      </c>
      <c r="L239" s="6">
        <v>173584.4</v>
      </c>
      <c r="M239" s="6">
        <v>0.1554838709677421</v>
      </c>
      <c r="N239" s="6">
        <v>51.366666666666667</v>
      </c>
      <c r="O239" s="6">
        <v>76.7</v>
      </c>
    </row>
    <row r="240" spans="1:15" s="3" customFormat="1" x14ac:dyDescent="0.25">
      <c r="A240" s="5">
        <v>40695</v>
      </c>
      <c r="B240" s="6">
        <v>-0.38942205610629144</v>
      </c>
      <c r="C240" s="6">
        <v>4.9067777299999999</v>
      </c>
      <c r="D240" s="6">
        <v>942594.18200000003</v>
      </c>
      <c r="E240" s="6">
        <v>824202.98300000001</v>
      </c>
      <c r="F240" s="6">
        <v>96485</v>
      </c>
      <c r="G240" s="6">
        <v>47794.04</v>
      </c>
      <c r="H240" s="6">
        <v>22398.1</v>
      </c>
      <c r="I240" s="6">
        <v>73981.242656000002</v>
      </c>
      <c r="J240" s="6">
        <v>20.626335946079688</v>
      </c>
      <c r="K240" s="6">
        <v>-13.554216867469879</v>
      </c>
      <c r="L240" s="6">
        <v>185835.1</v>
      </c>
      <c r="M240" s="6">
        <v>9.3281249999999954E-2</v>
      </c>
      <c r="N240" s="6">
        <v>50.966666666666669</v>
      </c>
      <c r="O240" s="6">
        <v>78</v>
      </c>
    </row>
    <row r="241" spans="1:15" s="3" customFormat="1" x14ac:dyDescent="0.25">
      <c r="A241" s="5">
        <v>40787</v>
      </c>
      <c r="B241" s="6">
        <v>0.20922937374806302</v>
      </c>
      <c r="C241" s="6">
        <v>4.2226215900000001</v>
      </c>
      <c r="D241" s="6">
        <v>978501.34200000006</v>
      </c>
      <c r="E241" s="6">
        <v>867839.30799999996</v>
      </c>
      <c r="F241" s="6">
        <v>100618</v>
      </c>
      <c r="G241" s="6">
        <v>37866.629999999997</v>
      </c>
      <c r="H241" s="6">
        <v>17592.41</v>
      </c>
      <c r="I241" s="6">
        <v>90444.226802999998</v>
      </c>
      <c r="J241" s="6">
        <v>12.825687315192006</v>
      </c>
      <c r="K241" s="6">
        <v>-56.307294432770682</v>
      </c>
      <c r="L241" s="6">
        <v>109623.3</v>
      </c>
      <c r="M241" s="6">
        <v>8.3906249999999988E-2</v>
      </c>
      <c r="N241" s="6">
        <v>49.866666666666667</v>
      </c>
      <c r="O241" s="6">
        <v>77.333333333333329</v>
      </c>
    </row>
    <row r="242" spans="1:15" s="3" customFormat="1" x14ac:dyDescent="0.25">
      <c r="A242" s="5">
        <v>40878</v>
      </c>
      <c r="B242" s="6">
        <v>0.51443821385845256</v>
      </c>
      <c r="C242" s="6">
        <v>3.0836806700000001</v>
      </c>
      <c r="D242" s="6">
        <v>972183.92000000016</v>
      </c>
      <c r="E242" s="6">
        <v>856030.60699999996</v>
      </c>
      <c r="F242" s="6">
        <v>110639</v>
      </c>
      <c r="G242" s="6">
        <v>39809.230000000003</v>
      </c>
      <c r="H242" s="6">
        <v>18434.39</v>
      </c>
      <c r="I242" s="6">
        <v>24466.294114</v>
      </c>
      <c r="J242" s="6">
        <v>6.1386549015265821</v>
      </c>
      <c r="K242" s="6">
        <v>-57.38669649038718</v>
      </c>
      <c r="L242" s="6">
        <v>103410.9</v>
      </c>
      <c r="M242" s="6">
        <v>7.5081967213114803E-2</v>
      </c>
      <c r="N242" s="6">
        <v>47.6</v>
      </c>
      <c r="O242" s="6">
        <v>79.600000000000009</v>
      </c>
    </row>
    <row r="243" spans="1:15" s="3" customFormat="1" x14ac:dyDescent="0.25">
      <c r="A243" s="5">
        <v>40969</v>
      </c>
      <c r="B243" s="6">
        <v>0.17995734455602766</v>
      </c>
      <c r="C243" s="6">
        <v>0.51305528</v>
      </c>
      <c r="D243" s="6">
        <v>879992.53799999994</v>
      </c>
      <c r="E243" s="6">
        <v>781475.34700000007</v>
      </c>
      <c r="F243" s="6">
        <v>113500</v>
      </c>
      <c r="G243" s="6">
        <v>44540.02</v>
      </c>
      <c r="H243" s="6">
        <v>20555.580000000002</v>
      </c>
      <c r="I243" s="6">
        <v>73683.119221000001</v>
      </c>
      <c r="J243" s="6">
        <v>0.54260096496141164</v>
      </c>
      <c r="K243" s="6">
        <v>-36.360989810771471</v>
      </c>
      <c r="L243" s="6">
        <v>129073.09999999999</v>
      </c>
      <c r="M243" s="6">
        <v>0.10629032258064519</v>
      </c>
      <c r="N243" s="6">
        <v>49.966666666666669</v>
      </c>
      <c r="O243" s="6">
        <v>80.7</v>
      </c>
    </row>
    <row r="244" spans="1:15" s="3" customFormat="1" x14ac:dyDescent="0.25">
      <c r="A244" s="5">
        <v>41061</v>
      </c>
      <c r="B244" s="6">
        <v>0.60707030149759988</v>
      </c>
      <c r="C244" s="6">
        <v>1.51857591</v>
      </c>
      <c r="D244" s="6">
        <v>962129.98300000001</v>
      </c>
      <c r="E244" s="6">
        <v>838985.9850000001</v>
      </c>
      <c r="F244" s="6">
        <v>106466</v>
      </c>
      <c r="G244" s="6">
        <v>43092.42</v>
      </c>
      <c r="H244" s="6">
        <v>19441.46</v>
      </c>
      <c r="I244" s="6">
        <v>50792.596945999998</v>
      </c>
      <c r="J244" s="6">
        <v>4.4625766209117987</v>
      </c>
      <c r="K244" s="6">
        <v>-13.601406284333114</v>
      </c>
      <c r="L244" s="6">
        <v>171754.4</v>
      </c>
      <c r="M244" s="6">
        <v>0.15453125000000006</v>
      </c>
      <c r="N244" s="6">
        <v>50.033333333333331</v>
      </c>
      <c r="O244" s="6">
        <v>81.3</v>
      </c>
    </row>
    <row r="245" spans="1:15" s="3" customFormat="1" x14ac:dyDescent="0.25">
      <c r="A245" s="5">
        <v>41153</v>
      </c>
      <c r="B245" s="6">
        <v>0.77078865856564216</v>
      </c>
      <c r="C245" s="6">
        <v>2.0874725999999999</v>
      </c>
      <c r="D245" s="6">
        <v>1022339.376</v>
      </c>
      <c r="E245" s="6">
        <v>901025.58199999994</v>
      </c>
      <c r="F245" s="6">
        <v>106481</v>
      </c>
      <c r="G245" s="6">
        <v>46552.15</v>
      </c>
      <c r="H245" s="6">
        <v>20840.38</v>
      </c>
      <c r="I245" s="6">
        <v>50666.186027999996</v>
      </c>
      <c r="J245" s="6">
        <v>10.844735246219994</v>
      </c>
      <c r="K245" s="6">
        <v>37.49075150618328</v>
      </c>
      <c r="L245" s="6">
        <v>151307.20000000001</v>
      </c>
      <c r="M245" s="6">
        <v>0.14619047619047623</v>
      </c>
      <c r="N245" s="6">
        <v>47.333333333333336</v>
      </c>
      <c r="O245" s="6">
        <v>79.7</v>
      </c>
    </row>
    <row r="246" spans="1:15" s="3" customFormat="1" x14ac:dyDescent="0.25">
      <c r="A246" s="5">
        <v>41244</v>
      </c>
      <c r="B246" s="6">
        <v>1.0966519677964699</v>
      </c>
      <c r="C246" s="6">
        <v>2.6787979000000002</v>
      </c>
      <c r="D246" s="6">
        <v>1050451.3630000001</v>
      </c>
      <c r="E246" s="6">
        <v>915758.18200000003</v>
      </c>
      <c r="F246" s="6">
        <v>119051</v>
      </c>
      <c r="G246" s="6">
        <v>50739.47</v>
      </c>
      <c r="H246" s="6">
        <v>22656.92</v>
      </c>
      <c r="I246" s="6">
        <v>28787.987260999998</v>
      </c>
      <c r="J246" s="6">
        <v>19.507252036695725</v>
      </c>
      <c r="K246" s="6">
        <v>63.813035055927017</v>
      </c>
      <c r="L246" s="6">
        <v>182013.09999999998</v>
      </c>
      <c r="M246" s="6">
        <v>0.16096774193548391</v>
      </c>
      <c r="N246" s="6">
        <v>49.833333333333336</v>
      </c>
      <c r="O246" s="6">
        <v>82.566666666666677</v>
      </c>
    </row>
    <row r="247" spans="1:15" s="3" customFormat="1" x14ac:dyDescent="0.25">
      <c r="A247" s="5">
        <v>41334</v>
      </c>
      <c r="B247" s="6">
        <v>0.83728368100778083</v>
      </c>
      <c r="C247" s="6">
        <v>3.3525202699999999</v>
      </c>
      <c r="D247" s="6">
        <v>922867.31199999992</v>
      </c>
      <c r="E247" s="6">
        <v>812270.84899999993</v>
      </c>
      <c r="F247" s="6">
        <v>129270</v>
      </c>
      <c r="G247" s="6">
        <v>50122.54</v>
      </c>
      <c r="H247" s="6">
        <v>22299.63</v>
      </c>
      <c r="I247" s="6">
        <v>73566.052280000004</v>
      </c>
      <c r="J247" s="6">
        <v>23.680027578927362</v>
      </c>
      <c r="K247" s="6">
        <v>-1.1299176578225067</v>
      </c>
      <c r="L247" s="6">
        <v>144330.20000000001</v>
      </c>
      <c r="M247" s="6">
        <v>0.14426229508196728</v>
      </c>
      <c r="N247" s="6">
        <v>48.9</v>
      </c>
      <c r="O247" s="6">
        <v>83.633333333333326</v>
      </c>
    </row>
    <row r="248" spans="1:15" s="3" customFormat="1" x14ac:dyDescent="0.25">
      <c r="A248" s="5">
        <v>41426</v>
      </c>
      <c r="B248" s="6">
        <v>0.44792670817357522</v>
      </c>
      <c r="C248" s="6">
        <v>3.1890338300000001</v>
      </c>
      <c r="D248" s="6">
        <v>996081.33100000001</v>
      </c>
      <c r="E248" s="6">
        <v>859445.00699999998</v>
      </c>
      <c r="F248" s="6">
        <v>123588</v>
      </c>
      <c r="G248" s="6">
        <v>47786.3</v>
      </c>
      <c r="H248" s="6">
        <v>20803.29</v>
      </c>
      <c r="I248" s="6">
        <v>68984.193306999994</v>
      </c>
      <c r="J248" s="6">
        <v>14.626253582836499</v>
      </c>
      <c r="K248" s="6">
        <v>-52.383374509518966</v>
      </c>
      <c r="L248" s="6">
        <v>77681.899999999994</v>
      </c>
      <c r="M248" s="6">
        <v>0.11703124999999995</v>
      </c>
      <c r="N248" s="6">
        <v>48.566666666666663</v>
      </c>
      <c r="O248" s="6">
        <v>84.566666666666663</v>
      </c>
    </row>
    <row r="249" spans="1:15" s="3" customFormat="1" x14ac:dyDescent="0.25">
      <c r="A249" s="5">
        <v>41518</v>
      </c>
      <c r="B249" s="6">
        <v>0.60250961489894439</v>
      </c>
      <c r="C249" s="6">
        <v>3.0167165200000001</v>
      </c>
      <c r="D249" s="6">
        <v>1049464.9380000001</v>
      </c>
      <c r="E249" s="6">
        <v>930733.36</v>
      </c>
      <c r="F249" s="6">
        <v>114493</v>
      </c>
      <c r="G249" s="6">
        <v>52900.89</v>
      </c>
      <c r="H249" s="6">
        <v>22859.86</v>
      </c>
      <c r="I249" s="6">
        <v>53240.351255000001</v>
      </c>
      <c r="J249" s="6">
        <v>10.202420936885517</v>
      </c>
      <c r="K249" s="6">
        <v>-51.395295202952028</v>
      </c>
      <c r="L249" s="6">
        <v>75642.100000000006</v>
      </c>
      <c r="M249" s="6">
        <v>8.5468749999999996E-2</v>
      </c>
      <c r="N249" s="6">
        <v>49.966666666666669</v>
      </c>
      <c r="O249" s="6">
        <v>83.966666666666669</v>
      </c>
    </row>
    <row r="250" spans="1:15" s="3" customFormat="1" x14ac:dyDescent="0.25">
      <c r="A250" s="5">
        <v>41609</v>
      </c>
      <c r="B250" s="6">
        <v>0.93758517307168165</v>
      </c>
      <c r="C250" s="6">
        <v>2.8546286699999999</v>
      </c>
      <c r="D250" s="6">
        <v>1096527.0390000001</v>
      </c>
      <c r="E250" s="6">
        <v>959542.56700000004</v>
      </c>
      <c r="F250" s="6">
        <v>127098</v>
      </c>
      <c r="G250" s="6">
        <v>54063.519999999997</v>
      </c>
      <c r="H250" s="6">
        <v>23306.39</v>
      </c>
      <c r="I250" s="6">
        <v>30617.140926</v>
      </c>
      <c r="J250" s="6">
        <v>4.0713854050868239</v>
      </c>
      <c r="K250" s="6">
        <v>-48.22429906542056</v>
      </c>
      <c r="L250" s="6">
        <v>99198.6</v>
      </c>
      <c r="M250" s="6">
        <v>8.5483870967741918E-2</v>
      </c>
      <c r="N250" s="6">
        <v>50.266666666666673</v>
      </c>
      <c r="O250" s="6">
        <v>86.166666666666671</v>
      </c>
    </row>
    <row r="251" spans="1:15" s="3" customFormat="1" x14ac:dyDescent="0.25">
      <c r="A251" s="5">
        <v>41699</v>
      </c>
      <c r="B251" s="6">
        <v>0.90954826716843418</v>
      </c>
      <c r="C251" s="6">
        <v>2.92833897</v>
      </c>
      <c r="D251" s="6">
        <v>941911.25099999993</v>
      </c>
      <c r="E251" s="6">
        <v>817893.44900000002</v>
      </c>
      <c r="F251" s="6">
        <v>134649</v>
      </c>
      <c r="G251" s="6">
        <v>51602.44</v>
      </c>
      <c r="H251" s="6">
        <v>22151.06</v>
      </c>
      <c r="I251" s="6">
        <v>66045.716543999995</v>
      </c>
      <c r="J251" s="6">
        <v>-1.2439521125850042</v>
      </c>
      <c r="K251" s="6">
        <v>-43.274880858742428</v>
      </c>
      <c r="L251" s="6">
        <v>85417.4</v>
      </c>
      <c r="M251" s="6">
        <v>7.2786885245901642E-2</v>
      </c>
      <c r="N251" s="6">
        <v>49.199999999999996</v>
      </c>
      <c r="O251" s="6">
        <v>87.09999999999998</v>
      </c>
    </row>
    <row r="252" spans="1:15" s="3" customFormat="1" x14ac:dyDescent="0.25">
      <c r="A252" s="5">
        <v>41791</v>
      </c>
      <c r="B252" s="6">
        <v>-0.15703207961174345</v>
      </c>
      <c r="C252" s="6">
        <v>2.3084416299999999</v>
      </c>
      <c r="D252" s="6">
        <v>1041610.416</v>
      </c>
      <c r="E252" s="6">
        <v>900865.37300000002</v>
      </c>
      <c r="F252" s="6">
        <v>114980</v>
      </c>
      <c r="G252" s="6">
        <v>55140.59</v>
      </c>
      <c r="H252" s="6">
        <v>23190.720000000001</v>
      </c>
      <c r="I252" s="6">
        <v>53370.761124999997</v>
      </c>
      <c r="J252" s="6">
        <v>-0.97618126301318897</v>
      </c>
      <c r="K252" s="6">
        <v>35.87669769571189</v>
      </c>
      <c r="L252" s="6">
        <v>111819.6</v>
      </c>
      <c r="M252" s="6">
        <v>9.1093749999999904E-2</v>
      </c>
      <c r="N252" s="6">
        <v>49.566666666666663</v>
      </c>
      <c r="O252" s="6">
        <v>87.666666666666671</v>
      </c>
    </row>
    <row r="253" spans="1:15" s="3" customFormat="1" x14ac:dyDescent="0.25">
      <c r="A253" s="5">
        <v>41883</v>
      </c>
      <c r="B253" s="6">
        <v>1.47137027439906</v>
      </c>
      <c r="C253" s="6">
        <v>3.19203569</v>
      </c>
      <c r="D253" s="6">
        <v>1109397.8910000001</v>
      </c>
      <c r="E253" s="6">
        <v>985371.68599999999</v>
      </c>
      <c r="F253" s="6">
        <v>116279</v>
      </c>
      <c r="G253" s="6">
        <v>55253.5</v>
      </c>
      <c r="H253" s="6">
        <v>22932.98</v>
      </c>
      <c r="I253" s="6">
        <v>84712.411571000004</v>
      </c>
      <c r="J253" s="6">
        <v>1.4640513578924579</v>
      </c>
      <c r="K253" s="6">
        <v>75.776986951364179</v>
      </c>
      <c r="L253" s="6">
        <v>161710.29999999999</v>
      </c>
      <c r="M253" s="6">
        <v>8.9687499999999934E-2</v>
      </c>
      <c r="N253" s="6">
        <v>50.333333333333336</v>
      </c>
      <c r="O253" s="6">
        <v>88.033333333333346</v>
      </c>
    </row>
    <row r="254" spans="1:15" s="3" customFormat="1" x14ac:dyDescent="0.25">
      <c r="A254" s="5">
        <v>41974</v>
      </c>
      <c r="B254" s="6">
        <v>0.37922492430792842</v>
      </c>
      <c r="C254" s="6">
        <v>2.6212044099999998</v>
      </c>
      <c r="D254" s="6">
        <v>1132522.5259999998</v>
      </c>
      <c r="E254" s="6">
        <v>971264.43200000003</v>
      </c>
      <c r="F254" s="6">
        <v>127330</v>
      </c>
      <c r="G254" s="6">
        <v>57026.93</v>
      </c>
      <c r="H254" s="6">
        <v>23605.040000000001</v>
      </c>
      <c r="I254" s="6">
        <v>43938.307734000002</v>
      </c>
      <c r="J254" s="6">
        <v>6.5387482973689712</v>
      </c>
      <c r="K254" s="6">
        <v>39.180726442201433</v>
      </c>
      <c r="L254" s="6">
        <v>145541</v>
      </c>
      <c r="M254" s="6">
        <v>0.10209677419354839</v>
      </c>
      <c r="N254" s="6">
        <v>49.133333333333333</v>
      </c>
      <c r="O254" s="6">
        <v>90.5</v>
      </c>
    </row>
    <row r="255" spans="1:15" s="3" customFormat="1" x14ac:dyDescent="0.25">
      <c r="A255" s="5">
        <v>42064</v>
      </c>
      <c r="B255" s="6">
        <v>0.63496240080876343</v>
      </c>
      <c r="C255" s="6">
        <v>2.3419609399999999</v>
      </c>
      <c r="D255" s="6">
        <v>955424.88899999997</v>
      </c>
      <c r="E255" s="6">
        <v>836320.66</v>
      </c>
      <c r="F255" s="6">
        <v>131568</v>
      </c>
      <c r="G255" s="6">
        <v>60440.43</v>
      </c>
      <c r="H255" s="6">
        <v>24900.89</v>
      </c>
      <c r="I255" s="6">
        <v>148923.55383600001</v>
      </c>
      <c r="J255" s="6">
        <v>13.544492285220249</v>
      </c>
      <c r="K255" s="6">
        <v>52.300163132137037</v>
      </c>
      <c r="L255" s="6">
        <v>139492.40000000002</v>
      </c>
      <c r="M255" s="6">
        <v>0.11459016393442632</v>
      </c>
      <c r="N255" s="6">
        <v>48.4</v>
      </c>
      <c r="O255" s="6">
        <v>90.833333333333329</v>
      </c>
    </row>
    <row r="256" spans="1:15" s="3" customFormat="1" x14ac:dyDescent="0.25">
      <c r="A256" s="5">
        <v>42156</v>
      </c>
      <c r="B256" s="6">
        <v>0.62091031066157498</v>
      </c>
      <c r="C256" s="6">
        <v>3.1393746400000002</v>
      </c>
      <c r="D256" s="6">
        <v>1008350.0360000001</v>
      </c>
      <c r="E256" s="6">
        <v>883292.08000000007</v>
      </c>
      <c r="F256" s="6">
        <v>113998</v>
      </c>
      <c r="G256" s="6">
        <v>64818.92</v>
      </c>
      <c r="H256" s="6">
        <v>26250.03</v>
      </c>
      <c r="I256" s="6">
        <v>155870.29371</v>
      </c>
      <c r="J256" s="6">
        <v>17.405574620445755</v>
      </c>
      <c r="K256" s="6">
        <v>-1.8194070080862534</v>
      </c>
      <c r="L256" s="6">
        <v>139741.1</v>
      </c>
      <c r="M256" s="6">
        <v>0.12593749999999992</v>
      </c>
      <c r="N256" s="6">
        <v>48.4</v>
      </c>
      <c r="O256" s="6">
        <v>90.233333333333334</v>
      </c>
    </row>
    <row r="257" spans="1:15" s="3" customFormat="1" x14ac:dyDescent="0.25">
      <c r="A257" s="5">
        <v>42248</v>
      </c>
      <c r="B257" s="6">
        <v>0.53871307887038478</v>
      </c>
      <c r="C257" s="6">
        <v>2.1913862599999998</v>
      </c>
      <c r="D257" s="6">
        <v>1034745.1500000001</v>
      </c>
      <c r="E257" s="6">
        <v>944856.24100000004</v>
      </c>
      <c r="F257" s="6">
        <v>110674</v>
      </c>
      <c r="G257" s="6">
        <v>51977.23</v>
      </c>
      <c r="H257" s="6">
        <v>20846.3</v>
      </c>
      <c r="I257" s="6">
        <v>85216.870637999993</v>
      </c>
      <c r="J257" s="6">
        <v>13.898326516251046</v>
      </c>
      <c r="K257" s="6">
        <v>-30.899356638322761</v>
      </c>
      <c r="L257" s="6">
        <v>126350.19999999998</v>
      </c>
      <c r="M257" s="6">
        <v>0.1357575757575758</v>
      </c>
      <c r="N257" s="6">
        <v>47.833333333333336</v>
      </c>
      <c r="O257" s="6">
        <v>90.266666666666652</v>
      </c>
    </row>
    <row r="258" spans="1:15" s="3" customFormat="1" x14ac:dyDescent="0.25">
      <c r="A258" s="5">
        <v>42339</v>
      </c>
      <c r="B258" s="6">
        <v>8.3931190027287841E-2</v>
      </c>
      <c r="C258" s="6">
        <v>1.89076154</v>
      </c>
      <c r="D258" s="6">
        <v>1052522.9169999999</v>
      </c>
      <c r="E258" s="6">
        <v>944074.21300000011</v>
      </c>
      <c r="F258" s="6">
        <v>118917</v>
      </c>
      <c r="G258" s="6">
        <v>54794.31</v>
      </c>
      <c r="H258" s="6">
        <v>21914.400000000001</v>
      </c>
      <c r="I258" s="6">
        <v>24678.544091</v>
      </c>
      <c r="J258" s="6">
        <v>4.6594832545930505</v>
      </c>
      <c r="K258" s="6">
        <v>-39.595574612249216</v>
      </c>
      <c r="L258" s="6">
        <v>84786.5</v>
      </c>
      <c r="M258" s="6">
        <v>0.16015873015873014</v>
      </c>
      <c r="N258" s="6">
        <v>47.1</v>
      </c>
      <c r="O258" s="6">
        <v>92.533333333333346</v>
      </c>
    </row>
    <row r="259" spans="1:15" s="3" customFormat="1" x14ac:dyDescent="0.25">
      <c r="A259" s="5">
        <v>42430</v>
      </c>
      <c r="B259" s="6">
        <v>-0.27971723822041122</v>
      </c>
      <c r="C259" s="6">
        <v>0.96466784000000005</v>
      </c>
      <c r="D259" s="6">
        <v>877374.95699999994</v>
      </c>
      <c r="E259" s="6">
        <v>779716.245</v>
      </c>
      <c r="F259" s="6">
        <v>115151</v>
      </c>
      <c r="G259" s="6">
        <v>52197.66</v>
      </c>
      <c r="H259" s="6">
        <v>20776.7</v>
      </c>
      <c r="I259" s="6">
        <v>71047.667579999994</v>
      </c>
      <c r="J259" s="6">
        <v>-7.5910935713164482</v>
      </c>
      <c r="K259" s="6">
        <v>-61.809125964010278</v>
      </c>
      <c r="L259" s="6">
        <v>54379.6</v>
      </c>
      <c r="M259" s="6">
        <v>0.36580645161290343</v>
      </c>
      <c r="N259" s="6">
        <v>48.166666666666664</v>
      </c>
      <c r="O259" s="6">
        <v>93.366666666666674</v>
      </c>
    </row>
    <row r="260" spans="1:15" s="3" customFormat="1" x14ac:dyDescent="0.25">
      <c r="A260" s="5">
        <v>42522</v>
      </c>
      <c r="B260" s="6">
        <v>1.4698405991672177</v>
      </c>
      <c r="C260" s="6">
        <v>1.8164983800000001</v>
      </c>
      <c r="D260" s="6">
        <v>976143.23699999996</v>
      </c>
      <c r="E260" s="6">
        <v>873293.30900000012</v>
      </c>
      <c r="F260" s="6">
        <v>104596</v>
      </c>
      <c r="G260" s="6">
        <v>53454.93</v>
      </c>
      <c r="H260" s="6">
        <v>20794.37</v>
      </c>
      <c r="I260" s="6">
        <v>72523.355142</v>
      </c>
      <c r="J260" s="6">
        <v>-10.308442407370373</v>
      </c>
      <c r="K260" s="6">
        <v>-15.265385495309996</v>
      </c>
      <c r="L260" s="6">
        <v>118799.1</v>
      </c>
      <c r="M260" s="6">
        <v>0.36999999999999983</v>
      </c>
      <c r="N260" s="6">
        <v>49.9</v>
      </c>
      <c r="O260" s="6">
        <v>92.533333333333346</v>
      </c>
    </row>
    <row r="261" spans="1:15" s="3" customFormat="1" x14ac:dyDescent="0.25">
      <c r="A261" s="5">
        <v>42614</v>
      </c>
      <c r="B261" s="6">
        <v>1.1343655679417142</v>
      </c>
      <c r="C261" s="6">
        <v>2.4197212499999998</v>
      </c>
      <c r="D261" s="6">
        <v>1047262.727</v>
      </c>
      <c r="E261" s="6">
        <v>942154.902</v>
      </c>
      <c r="F261" s="6">
        <v>102367</v>
      </c>
      <c r="G261" s="6">
        <v>60332.62</v>
      </c>
      <c r="H261" s="6">
        <v>23297.15</v>
      </c>
      <c r="I261" s="6">
        <v>70410.565407999995</v>
      </c>
      <c r="J261" s="6">
        <v>-8.3269579320048326</v>
      </c>
      <c r="K261" s="6">
        <v>24.962562666840288</v>
      </c>
      <c r="L261" s="6">
        <v>144558.1</v>
      </c>
      <c r="M261" s="6">
        <v>0.39531249999999968</v>
      </c>
      <c r="N261" s="6">
        <v>49.6</v>
      </c>
      <c r="O261" s="6">
        <v>93.066666666666663</v>
      </c>
    </row>
    <row r="262" spans="1:15" s="3" customFormat="1" x14ac:dyDescent="0.25">
      <c r="A262" s="5">
        <v>42705</v>
      </c>
      <c r="B262" s="6">
        <v>1.1238999407634869</v>
      </c>
      <c r="C262" s="6">
        <v>3.4839611100000001</v>
      </c>
      <c r="D262" s="6">
        <v>1111754.0249999999</v>
      </c>
      <c r="E262" s="6">
        <v>995000.73499999999</v>
      </c>
      <c r="F262" s="6">
        <v>114508</v>
      </c>
      <c r="G262" s="6">
        <v>57148.76</v>
      </c>
      <c r="H262" s="6">
        <v>22000.560000000001</v>
      </c>
      <c r="I262" s="6">
        <v>53775.415445999999</v>
      </c>
      <c r="J262" s="6">
        <v>3.0189268809544201</v>
      </c>
      <c r="K262" s="6">
        <v>65.778634650775572</v>
      </c>
      <c r="L262" s="6">
        <v>171166.3</v>
      </c>
      <c r="M262" s="6">
        <v>0.44918032786885259</v>
      </c>
      <c r="N262" s="6">
        <v>49.866666666666667</v>
      </c>
      <c r="O262" s="6">
        <v>93.666666666666671</v>
      </c>
    </row>
    <row r="263" spans="1:15" s="3" customFormat="1" x14ac:dyDescent="0.25">
      <c r="A263" s="5">
        <v>42795</v>
      </c>
      <c r="B263" s="6">
        <v>0.59037847266002608</v>
      </c>
      <c r="C263" s="6">
        <v>4.3868962800000002</v>
      </c>
      <c r="D263" s="6">
        <v>970784.80700000003</v>
      </c>
      <c r="E263" s="6">
        <v>859901.45900000003</v>
      </c>
      <c r="F263" s="6">
        <v>113623</v>
      </c>
      <c r="G263" s="6">
        <v>62945.7</v>
      </c>
      <c r="H263" s="6">
        <v>24111.59</v>
      </c>
      <c r="I263" s="6">
        <v>73664.227731999999</v>
      </c>
      <c r="J263" s="6">
        <v>14.007151939190496</v>
      </c>
      <c r="K263" s="6">
        <v>114.1074183144019</v>
      </c>
      <c r="L263" s="6">
        <v>135004.69999999998</v>
      </c>
      <c r="M263" s="6">
        <v>0.70387096774193492</v>
      </c>
      <c r="N263" s="6">
        <v>50.699999999999996</v>
      </c>
      <c r="O263" s="6">
        <v>93.899999999999991</v>
      </c>
    </row>
    <row r="264" spans="1:15" s="3" customFormat="1" x14ac:dyDescent="0.25">
      <c r="A264" s="5">
        <v>42887</v>
      </c>
      <c r="B264" s="6">
        <v>0.91203348866845724</v>
      </c>
      <c r="C264" s="6">
        <v>3.8130533299999998</v>
      </c>
      <c r="D264" s="6">
        <v>1055956.6640000001</v>
      </c>
      <c r="E264" s="6">
        <v>937900.08100000001</v>
      </c>
      <c r="F264" s="6">
        <v>104827</v>
      </c>
      <c r="G264" s="6">
        <v>68302.27</v>
      </c>
      <c r="H264" s="6">
        <v>25764.58</v>
      </c>
      <c r="I264" s="6">
        <v>81314.832385999995</v>
      </c>
      <c r="J264" s="6">
        <v>18.707647943676701</v>
      </c>
      <c r="K264" s="6">
        <v>44.171447856901793</v>
      </c>
      <c r="L264" s="6">
        <v>209864</v>
      </c>
      <c r="M264" s="6">
        <v>0.95281249999999862</v>
      </c>
      <c r="N264" s="6">
        <v>51.1</v>
      </c>
      <c r="O264" s="6">
        <v>94.399999999999991</v>
      </c>
    </row>
    <row r="265" spans="1:15" s="3" customFormat="1" x14ac:dyDescent="0.25">
      <c r="A265" s="5">
        <v>42979</v>
      </c>
      <c r="B265" s="6">
        <v>0.83754282815945014</v>
      </c>
      <c r="C265" s="6">
        <v>3.5083688199999998</v>
      </c>
      <c r="D265" s="6">
        <v>1127792.581</v>
      </c>
      <c r="E265" s="6">
        <v>1017957.7560000001</v>
      </c>
      <c r="F265" s="6">
        <v>106592</v>
      </c>
      <c r="G265" s="6">
        <v>74184.44</v>
      </c>
      <c r="H265" s="6">
        <v>27554.3</v>
      </c>
      <c r="I265" s="6">
        <v>73374.564922999998</v>
      </c>
      <c r="J265" s="6">
        <v>15.617941292615518</v>
      </c>
      <c r="K265" s="6">
        <v>-19.991663627364144</v>
      </c>
      <c r="L265" s="6">
        <v>135070.20000000001</v>
      </c>
      <c r="M265" s="6">
        <v>1.1555555555555539</v>
      </c>
      <c r="N265" s="6">
        <v>50.866666666666667</v>
      </c>
      <c r="O265" s="6">
        <v>94.7</v>
      </c>
    </row>
    <row r="266" spans="1:15" s="3" customFormat="1" x14ac:dyDescent="0.25">
      <c r="A266" s="5">
        <v>43070</v>
      </c>
      <c r="B266" s="6">
        <v>1.1105707602309165</v>
      </c>
      <c r="C266" s="6">
        <v>3.49472534</v>
      </c>
      <c r="D266" s="6">
        <v>1206410.068</v>
      </c>
      <c r="E266" s="6">
        <v>1062847.0179999999</v>
      </c>
      <c r="F266" s="6">
        <v>121095</v>
      </c>
      <c r="G266" s="6">
        <v>80745.25</v>
      </c>
      <c r="H266" s="6">
        <v>29919.15</v>
      </c>
      <c r="I266" s="6">
        <v>77519.965683999995</v>
      </c>
      <c r="J266" s="6">
        <v>11.855765648198945</v>
      </c>
      <c r="K266" s="6">
        <v>-0.11101125971348523</v>
      </c>
      <c r="L266" s="6">
        <v>174267.1</v>
      </c>
      <c r="M266" s="6">
        <v>1.2017741935483861</v>
      </c>
      <c r="N266" s="6">
        <v>50.933333333333337</v>
      </c>
      <c r="O266" s="6">
        <v>95.2</v>
      </c>
    </row>
    <row r="267" spans="1:15" s="3" customFormat="1" x14ac:dyDescent="0.25">
      <c r="A267" s="5">
        <v>43160</v>
      </c>
      <c r="B267" s="6">
        <v>1.4345468943531847</v>
      </c>
      <c r="C267" s="6">
        <v>4.3632674400000004</v>
      </c>
      <c r="D267" s="6">
        <v>1073682.952</v>
      </c>
      <c r="E267" s="6">
        <v>943522.08899999992</v>
      </c>
      <c r="F267" s="6">
        <v>129959</v>
      </c>
      <c r="G267" s="6">
        <v>81486.720000000001</v>
      </c>
      <c r="H267" s="6">
        <v>30093.38</v>
      </c>
      <c r="I267" s="6">
        <v>137286.786276</v>
      </c>
      <c r="J267" s="6">
        <v>12.897717529186117</v>
      </c>
      <c r="K267" s="6">
        <v>15.037987948650771</v>
      </c>
      <c r="L267" s="6">
        <v>166612.1</v>
      </c>
      <c r="M267" s="6">
        <v>1.4479032258064535</v>
      </c>
      <c r="N267" s="6">
        <v>49.933333333333337</v>
      </c>
      <c r="O267" s="6">
        <v>96.2</v>
      </c>
    </row>
    <row r="268" spans="1:15" s="3" customFormat="1" x14ac:dyDescent="0.25">
      <c r="A268" s="5">
        <v>43252</v>
      </c>
      <c r="B268" s="6">
        <v>-0.11159932339782407</v>
      </c>
      <c r="C268" s="6">
        <v>3.3046259600000001</v>
      </c>
      <c r="D268" s="6">
        <v>1166261.7719999999</v>
      </c>
      <c r="E268" s="6">
        <v>1021926.206</v>
      </c>
      <c r="F268" s="6">
        <v>117774</v>
      </c>
      <c r="G268" s="6">
        <v>79425.710000000006</v>
      </c>
      <c r="H268" s="6">
        <v>28955.11</v>
      </c>
      <c r="I268" s="6">
        <v>115295.15267700001</v>
      </c>
      <c r="J268" s="6">
        <v>12.755850276377814</v>
      </c>
      <c r="K268" s="6">
        <v>0.92232782433634541</v>
      </c>
      <c r="L268" s="6">
        <v>208841.60000000001</v>
      </c>
      <c r="M268" s="6">
        <v>1.7371875000000014</v>
      </c>
      <c r="N268" s="6">
        <v>50.566666666666663</v>
      </c>
      <c r="O268" s="6">
        <v>96.433333333333323</v>
      </c>
    </row>
    <row r="269" spans="1:15" s="3" customFormat="1" x14ac:dyDescent="0.25">
      <c r="A269" s="5">
        <v>43344</v>
      </c>
      <c r="B269" s="6">
        <v>0.16207496029539226</v>
      </c>
      <c r="C269" s="6">
        <v>2.61263215</v>
      </c>
      <c r="D269" s="6">
        <v>1257362.3669999999</v>
      </c>
      <c r="E269" s="6">
        <v>1110389.081</v>
      </c>
      <c r="F269" s="6">
        <v>113533</v>
      </c>
      <c r="G269" s="6">
        <v>77445.8</v>
      </c>
      <c r="H269" s="6">
        <v>27788.52</v>
      </c>
      <c r="I269" s="6">
        <v>84401.094989999998</v>
      </c>
      <c r="J269" s="6">
        <v>13.011107765189134</v>
      </c>
      <c r="K269" s="6">
        <v>6.570721542068247</v>
      </c>
      <c r="L269" s="6">
        <v>168512.8</v>
      </c>
      <c r="M269" s="6">
        <v>1.9234920634920638</v>
      </c>
      <c r="N269" s="6">
        <v>49.066666666666663</v>
      </c>
      <c r="O269" s="6">
        <v>97.033333333333346</v>
      </c>
    </row>
    <row r="270" spans="1:15" s="3" customFormat="1" x14ac:dyDescent="0.25">
      <c r="A270" s="5">
        <v>43435</v>
      </c>
      <c r="B270" s="6">
        <v>-0.32487588940714529</v>
      </c>
      <c r="C270" s="6">
        <v>1.1558610300000001</v>
      </c>
      <c r="D270" s="6">
        <v>1228612.8420000002</v>
      </c>
      <c r="E270" s="6">
        <v>1087909.1200000001</v>
      </c>
      <c r="F270" s="6">
        <v>123902</v>
      </c>
      <c r="G270" s="6">
        <v>72232.320000000007</v>
      </c>
      <c r="H270" s="6">
        <v>25845.7</v>
      </c>
      <c r="I270" s="6">
        <v>32691.446914</v>
      </c>
      <c r="J270" s="6">
        <v>3.1857276366628993</v>
      </c>
      <c r="K270" s="6">
        <v>-47.761430990685859</v>
      </c>
      <c r="L270" s="6">
        <v>102795.90000000001</v>
      </c>
      <c r="M270" s="6">
        <v>2.2170967741935499</v>
      </c>
      <c r="N270" s="6">
        <v>46.833333333333336</v>
      </c>
      <c r="O270" s="6">
        <v>97.633333333333326</v>
      </c>
    </row>
    <row r="271" spans="1:15" s="3" customFormat="1" x14ac:dyDescent="0.25">
      <c r="A271" s="5">
        <v>43525</v>
      </c>
      <c r="B271" s="6">
        <v>0.71836124311873661</v>
      </c>
      <c r="C271" s="6">
        <v>0.44164305999999998</v>
      </c>
      <c r="D271" s="6">
        <v>1039391.1089999999</v>
      </c>
      <c r="E271" s="6">
        <v>921017.125</v>
      </c>
      <c r="F271" s="6">
        <v>128405</v>
      </c>
      <c r="G271" s="6">
        <v>81507.070000000007</v>
      </c>
      <c r="H271" s="6">
        <v>29051.360000000001</v>
      </c>
      <c r="I271" s="6">
        <v>122244.882813</v>
      </c>
      <c r="J271" s="6">
        <v>-0.90059907074550272</v>
      </c>
      <c r="K271" s="6">
        <v>-14.455704850831246</v>
      </c>
      <c r="L271" s="6">
        <v>139952</v>
      </c>
      <c r="M271" s="6">
        <v>2.4013114754098384</v>
      </c>
      <c r="N271" s="6">
        <v>46.4</v>
      </c>
      <c r="O271" s="6">
        <v>98.3</v>
      </c>
    </row>
    <row r="272" spans="1:15" s="3" customFormat="1" x14ac:dyDescent="0.25">
      <c r="A272" s="5">
        <v>43617</v>
      </c>
      <c r="B272" s="6">
        <v>-0.57833780508160004</v>
      </c>
      <c r="C272" s="6">
        <v>-2.76805E-2</v>
      </c>
      <c r="D272" s="6">
        <v>1099176.5560000001</v>
      </c>
      <c r="E272" s="6">
        <v>974188.90699999989</v>
      </c>
      <c r="F272" s="6">
        <v>112887</v>
      </c>
      <c r="G272" s="6">
        <v>81449.09</v>
      </c>
      <c r="H272" s="6">
        <v>28542.62</v>
      </c>
      <c r="I272" s="6">
        <v>71783.250258999993</v>
      </c>
      <c r="J272" s="6">
        <v>-0.2052419985087254</v>
      </c>
      <c r="K272" s="6">
        <v>3.697346446465021</v>
      </c>
      <c r="L272" s="6">
        <v>213867.00000000003</v>
      </c>
      <c r="M272" s="6">
        <v>2.3978125000000001</v>
      </c>
      <c r="N272" s="6">
        <v>47.333333333333336</v>
      </c>
      <c r="O272" s="6">
        <v>99.266666666666666</v>
      </c>
    </row>
    <row r="273" spans="1:15" s="3" customFormat="1" x14ac:dyDescent="0.25">
      <c r="A273" s="5">
        <v>43709</v>
      </c>
      <c r="B273" s="6">
        <v>-3.3442540796191316</v>
      </c>
      <c r="C273" s="6">
        <v>-3.5273668499999999</v>
      </c>
      <c r="D273" s="6">
        <v>1130891.284</v>
      </c>
      <c r="E273" s="6">
        <v>1039030.198</v>
      </c>
      <c r="F273" s="6">
        <v>93707</v>
      </c>
      <c r="G273" s="6">
        <v>75357.61</v>
      </c>
      <c r="H273" s="6">
        <v>26092.27</v>
      </c>
      <c r="I273" s="6">
        <v>73292.224086999995</v>
      </c>
      <c r="J273" s="6">
        <v>-4.4818701785403894</v>
      </c>
      <c r="K273" s="6">
        <v>-18.912312862816989</v>
      </c>
      <c r="L273" s="6">
        <v>134481.4</v>
      </c>
      <c r="M273" s="6">
        <v>2.1978125000000004</v>
      </c>
      <c r="N273" s="6">
        <v>47.433333333333337</v>
      </c>
      <c r="O273" s="6">
        <v>100.23333333333333</v>
      </c>
    </row>
    <row r="274" spans="1:15" s="3" customFormat="1" x14ac:dyDescent="0.25">
      <c r="A274" s="5">
        <v>43800</v>
      </c>
      <c r="B274" s="6">
        <v>-0.37784420116088258</v>
      </c>
      <c r="C274" s="6">
        <v>-3.5786333300000002</v>
      </c>
      <c r="D274" s="6">
        <v>1148328.1680000001</v>
      </c>
      <c r="E274" s="6">
        <v>1059073.1710000001</v>
      </c>
      <c r="F274" s="6">
        <v>96161</v>
      </c>
      <c r="G274" s="6">
        <v>81652.63</v>
      </c>
      <c r="H274" s="6">
        <v>28189.75</v>
      </c>
      <c r="I274" s="6">
        <v>48433.510402</v>
      </c>
      <c r="J274" s="6">
        <v>0.30480617204110988</v>
      </c>
      <c r="K274" s="6">
        <v>39.155100800324185</v>
      </c>
      <c r="L274" s="6">
        <v>127955.19999999998</v>
      </c>
      <c r="M274" s="6">
        <v>1.6504838709677407</v>
      </c>
      <c r="N274" s="6">
        <v>48.699999999999996</v>
      </c>
      <c r="O274" s="6">
        <v>100.66666666666667</v>
      </c>
    </row>
    <row r="275" spans="1:15" s="3" customFormat="1" x14ac:dyDescent="0.25">
      <c r="A275" s="5">
        <v>43891</v>
      </c>
      <c r="B275" s="6">
        <v>-4.8434293952251402</v>
      </c>
      <c r="C275" s="6">
        <v>-8.9031386900000005</v>
      </c>
      <c r="D275" s="6">
        <v>935453.10400000005</v>
      </c>
      <c r="E275" s="6">
        <v>831599.89899999998</v>
      </c>
      <c r="F275" s="6">
        <v>83435</v>
      </c>
      <c r="G275" s="6">
        <v>68684.88</v>
      </c>
      <c r="H275" s="6">
        <v>23603.48</v>
      </c>
      <c r="I275" s="6">
        <v>113340.52492700001</v>
      </c>
      <c r="J275" s="6">
        <v>0.3690030883422411</v>
      </c>
      <c r="K275" s="6">
        <v>-28.000000000000004</v>
      </c>
      <c r="L275" s="6">
        <v>92827.7</v>
      </c>
      <c r="M275" s="6">
        <v>1.2329032258064521</v>
      </c>
      <c r="N275" s="6">
        <v>41.266666666666673</v>
      </c>
      <c r="O275" s="6">
        <v>100.13333333333333</v>
      </c>
    </row>
    <row r="276" spans="1:15" s="3" customFormat="1" x14ac:dyDescent="0.25">
      <c r="A276" s="5">
        <v>43983</v>
      </c>
      <c r="B276" s="6">
        <v>-1.342463580650366</v>
      </c>
      <c r="C276" s="6">
        <v>-9.6032824899999998</v>
      </c>
      <c r="D276" s="6">
        <v>1003089.406</v>
      </c>
      <c r="E276" s="6">
        <v>932680.83400000003</v>
      </c>
      <c r="F276" s="6">
        <v>77422</v>
      </c>
      <c r="G276" s="6">
        <v>71924.289999999994</v>
      </c>
      <c r="H276" s="6">
        <v>24427.19</v>
      </c>
      <c r="I276" s="6">
        <v>122490.241821</v>
      </c>
      <c r="J276" s="6">
        <v>-4.2035073304747606</v>
      </c>
      <c r="K276" s="6">
        <v>-19.433633069386662</v>
      </c>
      <c r="L276" s="6">
        <v>160566.70000000001</v>
      </c>
      <c r="M276" s="6">
        <v>5.8750000000000011E-2</v>
      </c>
      <c r="N276" s="6">
        <v>37.133333333333333</v>
      </c>
      <c r="O276" s="6">
        <v>100.76666666666665</v>
      </c>
    </row>
    <row r="277" spans="1:15" s="3" customFormat="1" x14ac:dyDescent="0.25">
      <c r="A277" s="5">
        <v>44075</v>
      </c>
      <c r="B277" s="6">
        <v>2.6025468314290308</v>
      </c>
      <c r="C277" s="6">
        <v>-4.0415719399999999</v>
      </c>
      <c r="D277" s="6">
        <v>1109433.6600000001</v>
      </c>
      <c r="E277" s="6">
        <v>1052297.898</v>
      </c>
      <c r="F277" s="6">
        <v>78093</v>
      </c>
      <c r="G277" s="6">
        <v>70041.509999999995</v>
      </c>
      <c r="H277" s="6">
        <v>23459.05</v>
      </c>
      <c r="I277" s="6">
        <v>98299.451258000001</v>
      </c>
      <c r="J277" s="6">
        <v>0.69145615012064898</v>
      </c>
      <c r="K277" s="6">
        <v>25.892991710625473</v>
      </c>
      <c r="L277" s="6">
        <v>153420.9</v>
      </c>
      <c r="M277" s="6">
        <v>9.2769230769230729E-2</v>
      </c>
      <c r="N277" s="6">
        <v>49.433333333333337</v>
      </c>
      <c r="O277" s="6">
        <v>98.466666666666683</v>
      </c>
    </row>
    <row r="278" spans="1:15" s="3" customFormat="1" x14ac:dyDescent="0.25">
      <c r="A278" s="5">
        <v>44166</v>
      </c>
      <c r="B278" s="6">
        <v>0.2698898557615676</v>
      </c>
      <c r="C278" s="6">
        <v>-3.4176590999999998</v>
      </c>
      <c r="D278" s="6">
        <v>1224536.7290000001</v>
      </c>
      <c r="E278" s="6">
        <v>1116440.926</v>
      </c>
      <c r="F278" s="6">
        <v>87501</v>
      </c>
      <c r="G278" s="6">
        <v>81419.88</v>
      </c>
      <c r="H278" s="6">
        <v>27231.13</v>
      </c>
      <c r="I278" s="6">
        <v>105700.642137</v>
      </c>
      <c r="J278" s="6">
        <v>0.48689790723387233</v>
      </c>
      <c r="K278" s="6">
        <v>34.092894583576005</v>
      </c>
      <c r="L278" s="6">
        <v>181680.9</v>
      </c>
      <c r="M278" s="6">
        <v>8.9032258064516076E-2</v>
      </c>
      <c r="N278" s="6">
        <v>51.266666666666673</v>
      </c>
      <c r="O278" s="6">
        <v>100.10000000000001</v>
      </c>
    </row>
    <row r="279" spans="1:15" s="3" customFormat="1" x14ac:dyDescent="0.25">
      <c r="A279" s="5">
        <v>44256</v>
      </c>
      <c r="B279" s="6">
        <v>6.5806277785262015</v>
      </c>
      <c r="C279" s="6">
        <v>8.17756945</v>
      </c>
      <c r="D279" s="6">
        <v>1175075.4669999999</v>
      </c>
      <c r="E279" s="6">
        <v>1108181.3259999999</v>
      </c>
      <c r="F279" s="6">
        <v>89706</v>
      </c>
      <c r="G279" s="6">
        <v>85122.19</v>
      </c>
      <c r="H279" s="6">
        <v>28378.35</v>
      </c>
      <c r="I279" s="6">
        <v>164042.92796299999</v>
      </c>
      <c r="J279" s="6">
        <v>0.99030061014474502</v>
      </c>
      <c r="K279" s="6">
        <v>83.028286189683868</v>
      </c>
      <c r="L279" s="6">
        <v>184498.9</v>
      </c>
      <c r="M279" s="6">
        <v>7.6393442622950808E-2</v>
      </c>
      <c r="N279" s="6">
        <v>50.066666666666663</v>
      </c>
      <c r="O279" s="6">
        <v>101.33333333333333</v>
      </c>
    </row>
    <row r="280" spans="1:15" s="3" customFormat="1" x14ac:dyDescent="0.25">
      <c r="A280" s="5">
        <v>44348</v>
      </c>
      <c r="B280" s="6">
        <v>-2.0535980625622514</v>
      </c>
      <c r="C280" s="6">
        <v>7.3978135199999997</v>
      </c>
      <c r="D280" s="6">
        <v>1282990.1070000001</v>
      </c>
      <c r="E280" s="6">
        <v>1185294.872</v>
      </c>
      <c r="F280" s="6">
        <v>84657</v>
      </c>
      <c r="G280" s="6">
        <v>87460.62</v>
      </c>
      <c r="H280" s="6">
        <v>28827.95</v>
      </c>
      <c r="I280" s="6">
        <v>140299.80271300001</v>
      </c>
      <c r="J280" s="6">
        <v>1.6790735746529284</v>
      </c>
      <c r="K280" s="6">
        <v>33.14453884169027</v>
      </c>
      <c r="L280" s="6">
        <v>251269.19999999998</v>
      </c>
      <c r="M280" s="6">
        <v>6.8750000000000019E-2</v>
      </c>
      <c r="N280" s="6">
        <v>48.93333333333333</v>
      </c>
      <c r="O280" s="6">
        <v>101.56666666666666</v>
      </c>
    </row>
    <row r="281" spans="1:15" s="3" customFormat="1" x14ac:dyDescent="0.25">
      <c r="A281" s="5">
        <v>44440</v>
      </c>
      <c r="B281" s="6">
        <v>0.66498817268270405</v>
      </c>
      <c r="C281" s="6">
        <v>5.3697004699999997</v>
      </c>
      <c r="D281" s="6">
        <v>1396108.8470000001</v>
      </c>
      <c r="E281" s="6">
        <v>1292438.4669999999</v>
      </c>
      <c r="F281" s="6">
        <v>83807</v>
      </c>
      <c r="G281" s="6">
        <v>75320.789999999994</v>
      </c>
      <c r="H281" s="6">
        <v>24575.64</v>
      </c>
      <c r="I281" s="6">
        <v>115123.09265200001</v>
      </c>
      <c r="J281" s="6">
        <v>1.445270765685559</v>
      </c>
      <c r="K281" s="6">
        <v>23.913563988985992</v>
      </c>
      <c r="L281" s="6">
        <v>212472.8</v>
      </c>
      <c r="M281" s="6">
        <v>9.0312500000000018E-2</v>
      </c>
      <c r="N281" s="6">
        <v>46.866666666666674</v>
      </c>
      <c r="O281" s="6">
        <v>100.7</v>
      </c>
    </row>
    <row r="282" spans="1:15" s="3" customFormat="1" x14ac:dyDescent="0.25">
      <c r="A282" s="5">
        <v>44531</v>
      </c>
      <c r="B282" s="6">
        <v>-0.15665582126365613</v>
      </c>
      <c r="C282" s="6">
        <v>4.9214603300000004</v>
      </c>
      <c r="D282" s="6">
        <v>1457031.227</v>
      </c>
      <c r="E282" s="6">
        <v>1382208.277</v>
      </c>
      <c r="F282" s="6">
        <v>94778</v>
      </c>
      <c r="G282" s="6">
        <v>71787.97</v>
      </c>
      <c r="H282" s="6">
        <v>23397.67</v>
      </c>
      <c r="I282" s="6">
        <v>57620.453441999998</v>
      </c>
      <c r="J282" s="6">
        <v>1.5885380203546957</v>
      </c>
      <c r="K282" s="6">
        <v>-9.2187415169118836</v>
      </c>
      <c r="L282" s="6">
        <v>169899.30000000002</v>
      </c>
      <c r="M282" s="6">
        <v>7.952380952380958E-2</v>
      </c>
      <c r="N282" s="6">
        <v>47.733333333333327</v>
      </c>
      <c r="O282" s="6">
        <v>102.13333333333333</v>
      </c>
    </row>
    <row r="283" spans="1:15" s="3" customFormat="1" x14ac:dyDescent="0.25">
      <c r="A283" s="5">
        <v>44621</v>
      </c>
      <c r="B283" s="6">
        <v>-3.7082451671220493</v>
      </c>
      <c r="C283" s="6">
        <v>-5.20724315</v>
      </c>
      <c r="D283" s="6">
        <v>1208828.7439999999</v>
      </c>
      <c r="E283" s="6">
        <v>1146105.648</v>
      </c>
      <c r="F283" s="6">
        <v>82864</v>
      </c>
      <c r="G283" s="6">
        <v>67727.53</v>
      </c>
      <c r="H283" s="6">
        <v>21996.85</v>
      </c>
      <c r="I283" s="6">
        <v>102257.33408299999</v>
      </c>
      <c r="J283" s="6">
        <v>-1.5735981270825476</v>
      </c>
      <c r="K283" s="6">
        <v>-44.353535353535356</v>
      </c>
      <c r="L283" s="6">
        <v>112306.4</v>
      </c>
      <c r="M283" s="6">
        <v>0.12435483870967746</v>
      </c>
      <c r="N283" s="6">
        <v>48.20000000000001</v>
      </c>
      <c r="O283" s="6">
        <v>102.89999999999999</v>
      </c>
    </row>
    <row r="284" spans="1:15" s="3" customFormat="1" x14ac:dyDescent="0.25">
      <c r="A284" s="5">
        <v>44713</v>
      </c>
      <c r="B284" s="6">
        <v>1.4316935373111044</v>
      </c>
      <c r="C284" s="6">
        <v>-1.8341697800000001</v>
      </c>
      <c r="D284" s="6">
        <v>1299637.7760000001</v>
      </c>
      <c r="E284" s="6">
        <v>1157848.2279999999</v>
      </c>
      <c r="F284" s="6">
        <v>86981</v>
      </c>
      <c r="G284" s="6">
        <v>68333.39</v>
      </c>
      <c r="H284" s="6">
        <v>21859.79</v>
      </c>
      <c r="I284" s="6">
        <v>151469.73795400001</v>
      </c>
      <c r="J284" s="6">
        <v>-3.6788491872696198</v>
      </c>
      <c r="K284" s="6">
        <v>-32.325465009592122</v>
      </c>
      <c r="L284" s="6">
        <v>152903.5</v>
      </c>
      <c r="M284" s="6">
        <v>0.75857142857142779</v>
      </c>
      <c r="N284" s="6">
        <v>45.766666666666673</v>
      </c>
      <c r="O284" s="6">
        <v>103.06666666666666</v>
      </c>
    </row>
    <row r="285" spans="1:15" s="3" customFormat="1" x14ac:dyDescent="0.25">
      <c r="A285" s="5">
        <v>44805</v>
      </c>
      <c r="B285" s="6">
        <v>-1.736848747449677</v>
      </c>
      <c r="C285" s="6">
        <v>-4.1763775299999999</v>
      </c>
      <c r="D285" s="6">
        <v>1238895.7219999998</v>
      </c>
      <c r="E285" s="6">
        <v>1153157.6030000001</v>
      </c>
      <c r="F285" s="6">
        <v>84963</v>
      </c>
      <c r="G285" s="6">
        <v>54576.94</v>
      </c>
      <c r="H285" s="6">
        <v>17222.830000000002</v>
      </c>
      <c r="I285" s="6">
        <v>84902.013380000004</v>
      </c>
      <c r="J285" s="6">
        <v>-9.8403404033875113</v>
      </c>
      <c r="K285" s="6">
        <v>-38.795227283706105</v>
      </c>
      <c r="L285" s="6">
        <v>106358.40000000001</v>
      </c>
      <c r="M285" s="6">
        <v>2.2009374999999998</v>
      </c>
      <c r="N285" s="6">
        <v>47.5</v>
      </c>
      <c r="O285" s="6">
        <v>103.39999999999999</v>
      </c>
    </row>
    <row r="286" spans="1:15" s="3" customFormat="1" x14ac:dyDescent="0.25">
      <c r="A286" s="5">
        <v>44896</v>
      </c>
      <c r="B286" s="6">
        <v>0.55921527915277547</v>
      </c>
      <c r="C286" s="6">
        <v>-3.4893276100000001</v>
      </c>
      <c r="D286" s="6">
        <v>1182384.7709999999</v>
      </c>
      <c r="E286" s="6">
        <v>1082780.916</v>
      </c>
      <c r="F286" s="6">
        <v>95154</v>
      </c>
      <c r="G286" s="6">
        <v>62782.44</v>
      </c>
      <c r="H286" s="6">
        <v>19781.41</v>
      </c>
      <c r="I286" s="6">
        <v>87020.250675000003</v>
      </c>
      <c r="J286" s="6">
        <v>-15.104623235948306</v>
      </c>
      <c r="K286" s="6">
        <v>-44.949464744931525</v>
      </c>
      <c r="L286" s="6">
        <v>83296.5</v>
      </c>
      <c r="M286" s="6">
        <v>3.6496721311475451</v>
      </c>
      <c r="N286" s="6">
        <v>46.166666666666664</v>
      </c>
      <c r="O286" s="6">
        <v>104</v>
      </c>
    </row>
    <row r="287" spans="1:15" s="3" customFormat="1" x14ac:dyDescent="0.25">
      <c r="A287" s="5">
        <v>44986</v>
      </c>
      <c r="B287" s="6">
        <v>2.1847760145598518</v>
      </c>
      <c r="C287" s="6">
        <v>2.4170912499999999</v>
      </c>
      <c r="D287" s="6">
        <v>1055640.334</v>
      </c>
      <c r="E287" s="6">
        <v>944307.80099999998</v>
      </c>
      <c r="F287" s="6">
        <v>102813</v>
      </c>
      <c r="G287" s="6">
        <v>64984.56</v>
      </c>
      <c r="H287" s="6">
        <v>20400.11</v>
      </c>
      <c r="I287" s="6">
        <v>140573.02300099999</v>
      </c>
      <c r="J287" s="6">
        <v>-11.955259235368981</v>
      </c>
      <c r="K287" s="6">
        <v>36.512978762025774</v>
      </c>
      <c r="L287" s="6">
        <v>132152</v>
      </c>
      <c r="M287" s="6">
        <v>4.5219354838709691</v>
      </c>
      <c r="N287" s="6">
        <v>49.633333333333333</v>
      </c>
      <c r="O287" s="6">
        <v>104.89999999999999</v>
      </c>
    </row>
    <row r="288" spans="1:15" s="3" customFormat="1" x14ac:dyDescent="0.25">
      <c r="A288" s="5">
        <v>45078</v>
      </c>
      <c r="B288" s="6">
        <v>0.48927322485476732</v>
      </c>
      <c r="C288" s="6">
        <v>1.46551543</v>
      </c>
      <c r="D288" s="6">
        <v>1122792.314</v>
      </c>
      <c r="E288" s="6">
        <v>1003245.02</v>
      </c>
      <c r="F288" s="6">
        <v>102236</v>
      </c>
      <c r="G288" s="6">
        <v>61059.48</v>
      </c>
      <c r="H288" s="6">
        <v>18916.43</v>
      </c>
      <c r="I288" s="6">
        <v>81146.718416999996</v>
      </c>
      <c r="J288" s="6">
        <v>-10.507516276371277</v>
      </c>
      <c r="K288" s="6">
        <v>-18.493868244284219</v>
      </c>
      <c r="L288" s="6">
        <v>134028.1</v>
      </c>
      <c r="M288" s="6">
        <v>4.98730158730159</v>
      </c>
      <c r="N288" s="6">
        <v>47.06666666666667</v>
      </c>
      <c r="O288" s="6">
        <v>105.13333333333333</v>
      </c>
    </row>
    <row r="289" spans="1:15" s="3" customFormat="1" x14ac:dyDescent="0.25">
      <c r="A289" s="5">
        <v>45170</v>
      </c>
      <c r="B289" s="6">
        <v>1.0534621344430684</v>
      </c>
      <c r="C289" s="6">
        <v>4.3467616400000004</v>
      </c>
      <c r="D289" s="6">
        <v>1203946.997</v>
      </c>
      <c r="E289" s="6">
        <v>1083787.2249999999</v>
      </c>
      <c r="F289" s="6">
        <v>97240</v>
      </c>
      <c r="G289" s="6">
        <v>58498.39</v>
      </c>
      <c r="H289" s="6">
        <v>17809.66</v>
      </c>
      <c r="I289" s="6">
        <v>67650.234421999994</v>
      </c>
      <c r="J289" s="6">
        <v>-10.26598312288958</v>
      </c>
      <c r="K289" s="6">
        <v>-20.883977900552487</v>
      </c>
      <c r="L289" s="6">
        <v>86385.1</v>
      </c>
      <c r="M289" s="6">
        <v>5.262380952380953</v>
      </c>
      <c r="N289" s="6">
        <v>46.933333333333337</v>
      </c>
      <c r="O289" s="6">
        <v>105.33333333333333</v>
      </c>
    </row>
    <row r="290" spans="1:15" s="3" customFormat="1" x14ac:dyDescent="0.25">
      <c r="A290" s="5">
        <v>45261</v>
      </c>
      <c r="B290" s="6">
        <v>0.60771801883925858</v>
      </c>
      <c r="C290" s="6">
        <v>4.3970912200000001</v>
      </c>
      <c r="D290" s="6">
        <v>1266497.861</v>
      </c>
      <c r="E290" s="6">
        <v>1152966.773</v>
      </c>
      <c r="F290" s="6">
        <v>104360</v>
      </c>
      <c r="G290" s="6">
        <v>56217.75</v>
      </c>
      <c r="H290" s="6">
        <v>17047.39</v>
      </c>
      <c r="I290" s="6">
        <v>75154.537528000001</v>
      </c>
      <c r="J290" s="6">
        <v>-9.5712116584547466</v>
      </c>
      <c r="K290" s="6">
        <v>-9.4948397609994579</v>
      </c>
      <c r="L290" s="6">
        <v>81028.200000000012</v>
      </c>
      <c r="M290" s="6">
        <v>5.330000000000001</v>
      </c>
      <c r="N290" s="6">
        <v>46.29999999999999</v>
      </c>
      <c r="O290" s="6">
        <v>106.66666666666667</v>
      </c>
    </row>
    <row r="291" spans="1:15" s="3" customFormat="1" x14ac:dyDescent="0.25">
      <c r="A291" s="5">
        <v>45352</v>
      </c>
      <c r="B291" s="6">
        <v>0.5907937612382711</v>
      </c>
      <c r="C291" s="6">
        <v>2.7685990199999999</v>
      </c>
      <c r="D291" s="6">
        <v>1140273.1000000001</v>
      </c>
      <c r="E291" s="6">
        <v>1057253.024</v>
      </c>
      <c r="F291" s="6">
        <v>101444</v>
      </c>
      <c r="G291" s="6">
        <v>54798.12</v>
      </c>
      <c r="H291" s="6">
        <v>16541.419999999998</v>
      </c>
      <c r="I291" s="6">
        <v>117256.73117100001</v>
      </c>
      <c r="J291" s="6">
        <v>-13.211068326540264</v>
      </c>
      <c r="K291" s="6">
        <v>-30.111029851738579</v>
      </c>
      <c r="L291" s="6">
        <v>82955.5</v>
      </c>
      <c r="M291" s="6">
        <v>5.330000000000001</v>
      </c>
      <c r="N291" s="6">
        <v>48.266666666666673</v>
      </c>
      <c r="O291" s="6">
        <v>106.93333333333332</v>
      </c>
    </row>
    <row r="292" spans="1:15" s="3" customFormat="1" x14ac:dyDescent="0.25">
      <c r="A292" s="5">
        <v>45444</v>
      </c>
      <c r="B292" s="6">
        <v>0.63229799972888845</v>
      </c>
      <c r="C292" s="6">
        <v>2.9148679300000002</v>
      </c>
      <c r="D292" s="6">
        <v>1206263.537</v>
      </c>
      <c r="E292" s="6">
        <v>1128185.548</v>
      </c>
      <c r="F292" s="6">
        <v>90022</v>
      </c>
      <c r="G292" s="6">
        <v>59714.34</v>
      </c>
      <c r="H292" s="6">
        <v>17718.61</v>
      </c>
      <c r="I292" s="6">
        <v>98886.980022999996</v>
      </c>
      <c r="J292" s="6">
        <v>-13.832895326712988</v>
      </c>
      <c r="K292" s="6">
        <v>42.514743686677761</v>
      </c>
      <c r="L292" s="6">
        <v>173824.2</v>
      </c>
      <c r="M292" s="6">
        <v>5.33</v>
      </c>
      <c r="N292" s="6">
        <v>49.066666666666663</v>
      </c>
      <c r="O292" s="6">
        <v>106.43333333333334</v>
      </c>
    </row>
    <row r="293" spans="1:15" s="3" customFormat="1" x14ac:dyDescent="0.25">
      <c r="A293" s="5">
        <v>45536</v>
      </c>
      <c r="B293" s="6">
        <v>0.43017169100151825</v>
      </c>
      <c r="C293" s="6">
        <v>2.2800964700000002</v>
      </c>
      <c r="D293" s="6">
        <v>1277999.7420000001</v>
      </c>
      <c r="E293" s="6">
        <v>1169822.571</v>
      </c>
      <c r="F293" s="6">
        <v>87941</v>
      </c>
      <c r="G293" s="6">
        <v>72655.03</v>
      </c>
      <c r="H293" s="6">
        <v>21133.68</v>
      </c>
      <c r="I293" s="6">
        <v>505838.40296899999</v>
      </c>
      <c r="J293" s="6">
        <v>-15.141487009485639</v>
      </c>
      <c r="K293" s="6">
        <v>9.696727853152435</v>
      </c>
      <c r="L293" s="6">
        <v>93392.5</v>
      </c>
      <c r="M293" s="6">
        <v>5.2675000000000001</v>
      </c>
      <c r="N293" s="6">
        <v>48.233333333333327</v>
      </c>
      <c r="O293" s="6">
        <v>107.83333333333333</v>
      </c>
    </row>
    <row r="294" spans="1:15" s="3" customFormat="1" x14ac:dyDescent="0.25">
      <c r="A294" s="5">
        <v>45627</v>
      </c>
      <c r="B294" s="6">
        <v>0.92096406021427746</v>
      </c>
      <c r="C294" s="6">
        <v>2.5985495200000002</v>
      </c>
      <c r="D294" s="6">
        <v>1303257.6340000001</v>
      </c>
      <c r="E294" s="6">
        <v>1194371.9410000001</v>
      </c>
      <c r="F294" s="6">
        <v>97440</v>
      </c>
      <c r="G294" s="6">
        <v>69110.210000000006</v>
      </c>
      <c r="H294" s="6">
        <v>20059.95</v>
      </c>
      <c r="I294" s="6">
        <v>74520</v>
      </c>
      <c r="J294" s="6">
        <v>-9.3817110735378879</v>
      </c>
      <c r="K294" s="6">
        <v>92.942023766654657</v>
      </c>
      <c r="L294" s="6">
        <v>137273</v>
      </c>
      <c r="M294" s="6">
        <v>4.6566129032258097</v>
      </c>
      <c r="N294" s="6">
        <v>47.9</v>
      </c>
      <c r="O294" s="6">
        <v>108.13333333333333</v>
      </c>
    </row>
    <row r="295" spans="1:15" s="3" customFormat="1" x14ac:dyDescent="0.25">
      <c r="A295" s="5">
        <v>45717</v>
      </c>
      <c r="B295" s="6">
        <v>1.1387433579514543</v>
      </c>
      <c r="C295" s="6">
        <v>3.1574359900000002</v>
      </c>
      <c r="D295" s="6">
        <v>1252178.976</v>
      </c>
      <c r="E295" s="6">
        <v>1172585.186</v>
      </c>
      <c r="F295" s="6">
        <v>94855</v>
      </c>
      <c r="G295" s="6">
        <v>80237.16</v>
      </c>
      <c r="H295" s="6">
        <v>23119.58</v>
      </c>
      <c r="I295" s="6">
        <v>257325.44948800001</v>
      </c>
      <c r="J295" s="6">
        <v>-8.0106830020205191</v>
      </c>
      <c r="K295" s="6">
        <v>25.960806697108069</v>
      </c>
      <c r="L295" s="6">
        <v>96691.9</v>
      </c>
      <c r="M295" s="6">
        <v>4.3300000000000054</v>
      </c>
      <c r="N295" s="6">
        <v>48</v>
      </c>
      <c r="O295" s="6">
        <v>108.63333333333333</v>
      </c>
    </row>
    <row r="296" spans="1:15" s="3" customFormat="1" x14ac:dyDescent="0.25">
      <c r="A296" s="5">
        <v>45809</v>
      </c>
      <c r="B296" s="6">
        <v>0.82258131863543371</v>
      </c>
      <c r="C296" s="6">
        <v>3.3524940399999998</v>
      </c>
      <c r="D296" s="6">
        <v>1388621.426</v>
      </c>
      <c r="E296" s="6">
        <v>1286363.2599999998</v>
      </c>
      <c r="F296" s="6">
        <v>90289</v>
      </c>
      <c r="G296" s="6">
        <v>84906.39</v>
      </c>
      <c r="H296" s="6">
        <v>24072.28</v>
      </c>
      <c r="I296" s="6">
        <v>242233.538986</v>
      </c>
      <c r="J296" s="6">
        <v>-7.9531089522692691</v>
      </c>
      <c r="K296" s="6">
        <v>-4.7853997559552237</v>
      </c>
      <c r="L296" s="6">
        <v>155817.5</v>
      </c>
      <c r="M296" s="6">
        <v>4.3300000000000045</v>
      </c>
      <c r="N296" s="6">
        <v>46.633333333333333</v>
      </c>
      <c r="O296" s="6">
        <v>108.33333333333333</v>
      </c>
    </row>
    <row r="297" spans="1:15" s="3" customFormat="1" x14ac:dyDescent="0.25">
      <c r="A297" s="5">
        <v>45901</v>
      </c>
      <c r="B297" s="6">
        <v>0.94596108964583103</v>
      </c>
      <c r="C297" s="6">
        <v>3.8832919000000001</v>
      </c>
      <c r="D297" s="6">
        <v>1454934.395</v>
      </c>
      <c r="E297" s="6">
        <v>1345229.007</v>
      </c>
      <c r="F297" s="6">
        <v>91382</v>
      </c>
      <c r="G297" s="6">
        <v>95508.43</v>
      </c>
      <c r="H297" s="6">
        <v>26855.56</v>
      </c>
      <c r="I297" s="6">
        <v>314926.13527199998</v>
      </c>
      <c r="J297" s="6">
        <v>-1.8820563955176013</v>
      </c>
      <c r="K297" s="6">
        <v>61.622408148417605</v>
      </c>
      <c r="L297" s="6">
        <v>145031.19999999998</v>
      </c>
      <c r="M297" s="6">
        <v>4.2959375000000035</v>
      </c>
      <c r="N297" s="6">
        <v>47.366666666666674</v>
      </c>
      <c r="O297" s="6">
        <v>109</v>
      </c>
    </row>
    <row r="298" spans="1:15" s="3" customFormat="1" x14ac:dyDescent="0.25">
      <c r="A298" s="5">
        <v>45992</v>
      </c>
      <c r="B298" s="6">
        <v>1.0599350813895962</v>
      </c>
      <c r="C298" s="6">
        <v>4.0263421299999997</v>
      </c>
      <c r="D298" s="6">
        <v>1595159.237</v>
      </c>
      <c r="E298" s="6">
        <v>1443444.409</v>
      </c>
      <c r="F298" s="6">
        <v>103919</v>
      </c>
      <c r="G298" s="6">
        <v>91579.34</v>
      </c>
      <c r="H298" s="6">
        <v>25630.54</v>
      </c>
      <c r="I298" s="6">
        <v>118965.832322</v>
      </c>
      <c r="J298" s="6">
        <v>1.1567771167791492</v>
      </c>
      <c r="K298" s="6">
        <v>14.072415080253824</v>
      </c>
      <c r="L298" s="6">
        <v>165785.60000000001</v>
      </c>
      <c r="M298" s="6">
        <v>3.8979032258064468</v>
      </c>
      <c r="N298" s="6">
        <v>47.5</v>
      </c>
      <c r="O298" s="6">
        <v>109.53333333333335</v>
      </c>
    </row>
    <row r="299" spans="1:15" s="3" customFormat="1" x14ac:dyDescent="0.25">
      <c r="A299" s="5">
        <v>46082</v>
      </c>
      <c r="B299" s="6">
        <v>2.9273540502009516</v>
      </c>
      <c r="C299" s="6">
        <v>5.8660192100000002</v>
      </c>
      <c r="D299" s="6">
        <v>1715088.9550000001</v>
      </c>
      <c r="E299" s="6">
        <v>1547760.1540000001</v>
      </c>
      <c r="F299" s="6">
        <v>106328</v>
      </c>
      <c r="G299" s="6">
        <v>88853.19</v>
      </c>
      <c r="H299" s="6">
        <v>24788.14</v>
      </c>
      <c r="I299" s="6">
        <v>255759.570871</v>
      </c>
      <c r="J299" s="6">
        <v>6.1848766589885233</v>
      </c>
      <c r="K299" s="6">
        <v>50.577750925156707</v>
      </c>
      <c r="L299" s="6">
        <v>173653.7</v>
      </c>
      <c r="M299" s="6">
        <v>3.6399999999999944</v>
      </c>
      <c r="N299" s="6">
        <v>47.300000000000004</v>
      </c>
      <c r="O299" s="6">
        <v>110.33333333333333</v>
      </c>
    </row>
    <row r="300" spans="1:15" s="3" customFormat="1" x14ac:dyDescent="0.25">
      <c r="A300" s="5">
        <v>46174</v>
      </c>
      <c r="B300" s="6"/>
      <c r="C300" s="6"/>
      <c r="D300" s="6">
        <v>1998782.047</v>
      </c>
      <c r="E300" s="6">
        <v>1873167.375</v>
      </c>
      <c r="F300" s="6"/>
      <c r="G300" s="6">
        <v>83129.759999999995</v>
      </c>
      <c r="H300" s="6">
        <v>22881.02</v>
      </c>
      <c r="I300" s="6">
        <v>308049.06809900003</v>
      </c>
      <c r="J300" s="6"/>
      <c r="K300" s="6"/>
      <c r="L300" s="6"/>
      <c r="M300" s="6">
        <v>3.631269841269841</v>
      </c>
      <c r="N300" s="6">
        <v>49.666666666666664</v>
      </c>
      <c r="O300" s="6">
        <v>110.40000000000002</v>
      </c>
    </row>
    <row r="301" spans="1:15" s="3" customFormat="1" x14ac:dyDescent="0.25">
      <c r="A301" s="5">
        <v>46266</v>
      </c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>
        <v>3.6280952380952387</v>
      </c>
      <c r="N301" s="6"/>
      <c r="O301" s="8"/>
    </row>
  </sheetData>
  <conditionalFormatting sqref="B3:O301">
    <cfRule type="cellIs" dxfId="3" priority="1" operator="lessThan">
      <formula>0</formula>
    </cfRule>
    <cfRule type="cellIs" dxfId="2" priority="2" operator="greaterThanOrEqual">
      <formula>0</formula>
    </cfRule>
    <cfRule type="cellIs" dxfId="1" priority="3" stopIfTrue="1" operator="lessThan">
      <formula>0</formula>
    </cfRule>
    <cfRule type="cellIs" dxfId="0" priority="4" stopIfTrue="1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DA8F0-E150-45D6-9A00-7B05705BA59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Gross Benjamin Peter</cp:lastModifiedBy>
  <dcterms:created xsi:type="dcterms:W3CDTF">2026-07-31T00:27:19Z</dcterms:created>
  <dcterms:modified xsi:type="dcterms:W3CDTF">2026-07-31T02:15:18Z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{764DA8F0-E150-45D6-9A00-7B05705BA599}</vt:lpwstr>
  </property>
</Properties>
</file>